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E9" i="4"/>
  <c r="F11" i="4"/>
  <c r="F5" i="4"/>
  <c r="F4" i="4"/>
  <c r="D12" i="4"/>
  <c r="E7" i="4"/>
  <c r="E10" i="4"/>
  <c r="G13" i="4"/>
  <c r="G12" i="4"/>
  <c r="C2" i="4"/>
  <c r="D6" i="4"/>
  <c r="E13" i="4"/>
  <c r="E5" i="4"/>
  <c r="F13" i="4"/>
  <c r="F12" i="4"/>
  <c r="D13" i="4"/>
  <c r="D10" i="4"/>
  <c r="F10" i="4"/>
  <c r="G11" i="4"/>
  <c r="D11" i="4"/>
  <c r="D5" i="4"/>
  <c r="E4" i="4"/>
  <c r="F9" i="4"/>
  <c r="G6" i="4"/>
  <c r="D4" i="4"/>
  <c r="G10" i="4"/>
  <c r="E12" i="4"/>
  <c r="E1" i="4"/>
  <c r="E11" i="4"/>
  <c r="D7" i="4"/>
  <c r="D8" i="4"/>
  <c r="G5" i="4"/>
  <c r="F8" i="4"/>
  <c r="D9" i="4"/>
  <c r="G8" i="4"/>
  <c r="G9" i="4"/>
  <c r="F6" i="4"/>
  <c r="G7" i="4"/>
  <c r="G4" i="4"/>
  <c r="F7" i="4"/>
  <c r="E8" i="4"/>
  <c r="E6" i="4"/>
</calcChain>
</file>

<file path=xl/sharedStrings.xml><?xml version="1.0" encoding="utf-8"?>
<sst xmlns="http://schemas.openxmlformats.org/spreadsheetml/2006/main" count="260" uniqueCount="192">
  <si>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</si>
  <si>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</si>
  <si>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</si>
  <si>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</si>
  <si>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</si>
  <si>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</si>
  <si>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</si>
  <si>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</si>
  <si>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</si>
  <si>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</si>
  <si>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</si>
  <si>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</si>
  <si>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</si>
  <si>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</si>
  <si>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</si>
  <si>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</si>
  <si>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</si>
  <si>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</si>
  <si>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</si>
  <si>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</si>
  <si>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</si>
  <si>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</si>
  <si>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</si>
  <si>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</si>
  <si>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</si>
  <si>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</si>
  <si>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</si>
  <si>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</si>
  <si>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</si>
  <si>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</si>
  <si>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</si>
  <si>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</si>
  <si>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</si>
  <si>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</si>
  <si>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</si>
  <si>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</si>
  <si>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</si>
  <si>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</si>
  <si>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</si>
  <si>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</si>
  <si>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</si>
  <si>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</si>
  <si>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</si>
  <si>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</si>
  <si>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</si>
  <si>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</si>
  <si>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</si>
  <si>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</si>
  <si>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</si>
  <si>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</si>
  <si>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</si>
  <si>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</si>
  <si>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</si>
  <si>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</si>
  <si>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</si>
  <si>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</si>
  <si>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</si>
  <si>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</si>
  <si>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</si>
  <si>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</si>
  <si>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</si>
  <si>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</si>
  <si>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</si>
  <si>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</si>
  <si>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</si>
  <si>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</si>
  <si>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</si>
  <si>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</si>
  <si>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</si>
  <si>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</si>
  <si>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</si>
  <si>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</si>
  <si>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</si>
  <si>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</si>
  <si>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</si>
  <si>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</si>
  <si>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</si>
  <si>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</si>
  <si>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</si>
  <si>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</si>
  <si>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</si>
  <si>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</si>
  <si>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</si>
  <si>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</si>
  <si>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</si>
  <si>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</si>
  <si>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</si>
  <si>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</si>
  <si>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</si>
  <si>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</si>
  <si>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</si>
  <si>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</si>
  <si>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</si>
  <si>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</si>
  <si>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</si>
  <si>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</si>
  <si>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</si>
  <si>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</si>
  <si>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</si>
  <si>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</si>
  <si>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</si>
  <si>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</si>
  <si>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</si>
  <si>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</si>
  <si>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</si>
  <si>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</si>
  <si>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</si>
  <si>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</si>
  <si>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</si>
  <si>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</si>
  <si>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</si>
  <si>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</si>
  <si>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</si>
  <si>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</si>
  <si>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</si>
  <si>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</si>
  <si>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</si>
  <si>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</si>
  <si>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</si>
  <si>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</si>
  <si>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</si>
  <si>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</si>
  <si>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</si>
  <si>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</si>
  <si>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</si>
  <si>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</si>
  <si>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</si>
  <si>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</si>
  <si>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</si>
  <si>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</si>
  <si>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</si>
  <si>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</si>
  <si>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</si>
  <si>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</si>
  <si>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</si>
  <si>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</si>
  <si>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</si>
  <si>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</si>
  <si>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</si>
  <si>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</si>
  <si>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</si>
  <si>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</si>
  <si>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</si>
  <si>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</si>
  <si>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</si>
  <si>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</si>
  <si>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2014-08-22T18:55:57.706Z</t>
  </si>
  <si>
    <t>2014-08-22T18:55:57.707Z</t>
  </si>
  <si>
    <t>2014-08-22T18:55:57.710Z</t>
  </si>
  <si>
    <t>2014-08-22T18:55:57.708Z</t>
  </si>
  <si>
    <t>2014-08-22T18:55:57.709Z</t>
  </si>
  <si>
    <t>2014-08-22T18:55:57.717Z</t>
  </si>
  <si>
    <t>2014-08-22T18:55:57.730Z</t>
  </si>
  <si>
    <t>2014-08-22T18:55:57.711Z</t>
  </si>
  <si>
    <t>2014-08-22T18:55:57.713Z</t>
  </si>
  <si>
    <t>2014-08-22T18:55:57.724Z</t>
  </si>
  <si>
    <t>2014-08-22T18:55:57.722Z</t>
  </si>
  <si>
    <t>2014-08-22T18:55:57.715Z</t>
  </si>
  <si>
    <t>2014-08-22T18:55:57.714Z</t>
  </si>
  <si>
    <t>2014-08-22T18:55:57.712Z</t>
  </si>
  <si>
    <t>2014-08-22T18:55:57.726Z</t>
  </si>
  <si>
    <t>2014-08-22T18:55:57.729Z</t>
  </si>
  <si>
    <t>2014-08-22T18:55:57.725Z</t>
  </si>
  <si>
    <t>2014-08-22T18:55:57.727Z</t>
  </si>
  <si>
    <t>2014-08-22T18:55:57.718Z</t>
  </si>
  <si>
    <t>2014-08-22T18:55:57.720Z</t>
  </si>
  <si>
    <t>2014-08-22T18:55:57.728Z</t>
  </si>
  <si>
    <t>2014-08-22T18:55:57.723Z</t>
  </si>
  <si>
    <t>2014-08-22T18:55:59.265Z</t>
  </si>
  <si>
    <t>2014-08-22T18:55:59.267Z</t>
  </si>
  <si>
    <t>2014-08-22T18:55:59.266Z</t>
  </si>
  <si>
    <t>2014-08-22T18:55:59.269Z</t>
  </si>
  <si>
    <t>2014-08-22T18:55:59.263Z</t>
  </si>
  <si>
    <t>2014-08-22T18:55:59.261Z</t>
  </si>
  <si>
    <t>2014-08-22T18:55:59.262Z</t>
  </si>
  <si>
    <t>2014-08-22T18:55:59.264Z</t>
  </si>
  <si>
    <t>2014-08-22T18:55:59.268Z</t>
  </si>
  <si>
    <t>lastStep</t>
  </si>
  <si>
    <t>averageOrderSize</t>
  </si>
  <si>
    <t>maxUsedPositionSize</t>
  </si>
  <si>
    <t>orderRoundtripTime</t>
  </si>
  <si>
    <t>Scalper_EURUSD</t>
  </si>
  <si>
    <t>Scalper_USDTRY</t>
  </si>
  <si>
    <t>Scalper_EURNZD</t>
  </si>
  <si>
    <t>Scalper_XAGGBP</t>
  </si>
  <si>
    <t>Scalper_AUDSGD</t>
  </si>
  <si>
    <t>MarketFollower</t>
  </si>
  <si>
    <t>TickSize</t>
  </si>
  <si>
    <t>DistanceToBestBid</t>
  </si>
  <si>
    <t>DistanceToBestAsk</t>
  </si>
  <si>
    <t>DistanceToLastBid</t>
  </si>
  <si>
    <t>Latency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</si>
</sst>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opLeftCell="A59" workbookViewId="0">
      <selection activeCell="A2" sqref="A2:A99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173</v>
      </c>
      <c r="C2" s="3">
        <v>1</v>
      </c>
      <c r="D2" s="3">
        <v>0.92</v>
      </c>
      <c r="E2" s="3">
        <v>1</v>
      </c>
      <c r="F2" s="3">
        <v>0.94</v>
      </c>
      <c r="G2" s="4"/>
      <c r="H2" s="4"/>
      <c r="I2" s="4">
        <v>0.01</v>
      </c>
      <c r="J2" s="4">
        <v>0.95</v>
      </c>
      <c r="K2" s="5"/>
      <c r="L2" s="5"/>
      <c r="M2" s="5">
        <v>0.01</v>
      </c>
      <c r="N2" s="5">
        <v>0.96</v>
      </c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146</v>
      </c>
      <c r="C3" s="2">
        <v>1</v>
      </c>
      <c r="D3" s="2">
        <v>1.89</v>
      </c>
      <c r="E3" s="2">
        <v>1</v>
      </c>
      <c r="F3" s="2">
        <v>1.91</v>
      </c>
      <c r="G3" s="12">
        <v>0.01</v>
      </c>
      <c r="H3" s="12">
        <v>1.88</v>
      </c>
      <c r="I3" s="12">
        <v>0.01</v>
      </c>
      <c r="J3" s="12">
        <v>1.92</v>
      </c>
      <c r="M3" s="12">
        <v>0.01</v>
      </c>
      <c r="N3" s="12">
        <v>1.93</v>
      </c>
      <c r="Q3" s="12">
        <v>0.01</v>
      </c>
      <c r="R3" s="12">
        <v>1.94</v>
      </c>
      <c r="U3" s="12">
        <v>0.01</v>
      </c>
      <c r="V3" s="12">
        <v>1.95</v>
      </c>
      <c r="Y3" s="12">
        <v>0.01</v>
      </c>
      <c r="Z3" s="12">
        <v>1.96</v>
      </c>
      <c r="AC3" s="12">
        <v>0.01</v>
      </c>
      <c r="AD3" s="12">
        <v>1.97</v>
      </c>
      <c r="AG3" s="12">
        <v>0.01</v>
      </c>
      <c r="AH3" s="12">
        <v>1.98</v>
      </c>
    </row>
    <row r="4" spans="1:42" x14ac:dyDescent="0.25">
      <c r="A4" s="2" t="s">
        <v>45</v>
      </c>
      <c r="B4" s="2" t="s">
        <v>173</v>
      </c>
      <c r="C4" s="2">
        <v>1</v>
      </c>
      <c r="D4" s="2">
        <v>2.92</v>
      </c>
      <c r="E4" s="2">
        <v>1</v>
      </c>
      <c r="F4" s="2">
        <v>2.94</v>
      </c>
      <c r="G4" s="12">
        <v>0.01</v>
      </c>
      <c r="H4" s="12">
        <v>2.91</v>
      </c>
      <c r="I4" s="12">
        <v>0.01</v>
      </c>
      <c r="J4" s="12">
        <v>2.95</v>
      </c>
      <c r="K4" s="12">
        <v>0.01</v>
      </c>
      <c r="L4" s="12">
        <v>2.9</v>
      </c>
      <c r="M4" s="12">
        <v>0.01</v>
      </c>
      <c r="N4" s="12">
        <v>2.96</v>
      </c>
      <c r="O4" s="12">
        <v>0.01</v>
      </c>
      <c r="P4" s="12">
        <v>2.89</v>
      </c>
      <c r="Q4" s="12">
        <v>0.01</v>
      </c>
      <c r="R4" s="12">
        <v>2.97</v>
      </c>
      <c r="S4" s="12">
        <v>0.01</v>
      </c>
      <c r="T4" s="12">
        <v>2.88</v>
      </c>
      <c r="U4" s="12">
        <v>0.01</v>
      </c>
      <c r="V4" s="12">
        <v>2.98</v>
      </c>
      <c r="Y4" s="12">
        <v>0.01</v>
      </c>
      <c r="Z4" s="12">
        <v>2.99</v>
      </c>
      <c r="AC4" s="12">
        <v>0.01</v>
      </c>
      <c r="AD4" s="12">
        <v>3</v>
      </c>
      <c r="AG4" s="12">
        <v>0.01</v>
      </c>
      <c r="AH4" s="12">
        <v>3.01</v>
      </c>
      <c r="AK4" s="12">
        <v>0.01</v>
      </c>
      <c r="AL4" s="12">
        <v>3.02</v>
      </c>
    </row>
    <row r="5" spans="1:42" x14ac:dyDescent="0.25">
      <c r="A5" s="2" t="s">
        <v>46</v>
      </c>
      <c r="B5" s="2" t="s">
        <v>146</v>
      </c>
      <c r="C5" s="2">
        <v>1</v>
      </c>
      <c r="D5" s="12">
        <v>3.89</v>
      </c>
      <c r="E5" s="12">
        <v>1</v>
      </c>
      <c r="F5" s="12">
        <v>3.91</v>
      </c>
      <c r="G5" s="12">
        <v>0.01</v>
      </c>
      <c r="H5" s="12">
        <v>3.88</v>
      </c>
      <c r="I5" s="12">
        <v>0.01</v>
      </c>
      <c r="J5" s="12">
        <v>3.92</v>
      </c>
      <c r="K5" s="12">
        <v>0.01</v>
      </c>
      <c r="L5" s="12">
        <v>3.87</v>
      </c>
      <c r="M5" s="12">
        <v>0.01</v>
      </c>
      <c r="N5" s="12">
        <v>3.93</v>
      </c>
      <c r="Q5" s="12">
        <v>0.01</v>
      </c>
      <c r="R5" s="12">
        <v>3.94</v>
      </c>
      <c r="U5" s="12">
        <v>0.01</v>
      </c>
      <c r="V5" s="12">
        <v>3.95</v>
      </c>
      <c r="Y5" s="12">
        <v>0.01</v>
      </c>
      <c r="Z5" s="12">
        <v>3.96</v>
      </c>
      <c r="AC5" s="12">
        <v>0.01</v>
      </c>
      <c r="AD5" s="12">
        <v>3.97</v>
      </c>
      <c r="AG5" s="12">
        <v>0.01</v>
      </c>
      <c r="AH5" s="12">
        <v>3.98</v>
      </c>
      <c r="AK5" s="12">
        <v>0.01</v>
      </c>
      <c r="AL5" s="12">
        <v>3.99</v>
      </c>
    </row>
    <row r="6" spans="1:42" x14ac:dyDescent="0.25">
      <c r="A6" s="12" t="s">
        <v>47</v>
      </c>
      <c r="B6" s="12" t="s">
        <v>173</v>
      </c>
      <c r="C6" s="12">
        <v>1</v>
      </c>
      <c r="D6" s="12">
        <v>4.92</v>
      </c>
      <c r="E6" s="12">
        <v>1</v>
      </c>
      <c r="F6" s="12">
        <v>4.9400000000000004</v>
      </c>
      <c r="G6" s="12">
        <v>0.01</v>
      </c>
      <c r="H6" s="12">
        <v>4.91</v>
      </c>
      <c r="I6" s="12">
        <v>0.01</v>
      </c>
      <c r="J6" s="12">
        <v>4.95</v>
      </c>
      <c r="K6" s="12">
        <v>0.01</v>
      </c>
      <c r="L6" s="12">
        <v>4.9000000000000004</v>
      </c>
      <c r="M6" s="12">
        <v>0.01</v>
      </c>
      <c r="N6" s="12">
        <v>4.96</v>
      </c>
      <c r="O6" s="12">
        <v>0.01</v>
      </c>
      <c r="P6" s="12">
        <v>4.8899999999999997</v>
      </c>
      <c r="Q6" s="12">
        <v>0.01</v>
      </c>
      <c r="R6" s="12">
        <v>4.97</v>
      </c>
      <c r="S6" s="12">
        <v>0.01</v>
      </c>
      <c r="T6" s="12">
        <v>4.88</v>
      </c>
      <c r="U6" s="12">
        <v>0.01</v>
      </c>
      <c r="V6" s="12">
        <v>4.9800000000000004</v>
      </c>
      <c r="W6" s="12">
        <v>0.01</v>
      </c>
      <c r="X6" s="12">
        <v>4.87</v>
      </c>
      <c r="Y6" s="12">
        <v>0.01</v>
      </c>
      <c r="Z6" s="12">
        <v>4.99</v>
      </c>
      <c r="AA6" s="12">
        <v>0.01</v>
      </c>
      <c r="AB6" s="12">
        <v>4.8600000000000003</v>
      </c>
      <c r="AC6" s="12">
        <v>0.01</v>
      </c>
      <c r="AD6" s="12">
        <v>5</v>
      </c>
      <c r="AE6" s="12">
        <v>0.01</v>
      </c>
      <c r="AF6" s="12">
        <v>4.8499999999999996</v>
      </c>
      <c r="AG6" s="12">
        <v>0.01</v>
      </c>
      <c r="AH6" s="12">
        <v>5.01</v>
      </c>
      <c r="AI6" s="12">
        <v>0.01</v>
      </c>
      <c r="AJ6" s="12">
        <v>4.84</v>
      </c>
      <c r="AK6" s="12">
        <v>0.01</v>
      </c>
      <c r="AL6" s="12">
        <v>5.0199999999999996</v>
      </c>
      <c r="AO6" s="12">
        <v>0.01</v>
      </c>
      <c r="AP6" s="12">
        <v>5.03</v>
      </c>
    </row>
    <row r="7" spans="1:42" x14ac:dyDescent="0.25">
      <c r="A7" s="12" t="s">
        <v>48</v>
      </c>
      <c r="B7" s="12" t="s">
        <v>147</v>
      </c>
      <c r="C7" s="12">
        <v>1</v>
      </c>
      <c r="D7" s="12">
        <v>5.89</v>
      </c>
      <c r="E7" s="12">
        <v>1</v>
      </c>
      <c r="F7" s="12">
        <v>5.91</v>
      </c>
      <c r="G7" s="12">
        <v>0.01</v>
      </c>
      <c r="H7" s="12">
        <v>5.88</v>
      </c>
      <c r="I7" s="12">
        <v>0.01</v>
      </c>
      <c r="J7" s="12">
        <v>5.92</v>
      </c>
      <c r="K7" s="12">
        <v>0.01</v>
      </c>
      <c r="L7" s="12">
        <v>5.87</v>
      </c>
      <c r="M7" s="12">
        <v>0.01</v>
      </c>
      <c r="N7" s="12">
        <v>5.93</v>
      </c>
      <c r="O7" s="12">
        <v>0.01</v>
      </c>
      <c r="P7" s="12">
        <v>5.86</v>
      </c>
      <c r="Q7" s="12">
        <v>0.01</v>
      </c>
      <c r="R7" s="12">
        <v>5.94</v>
      </c>
      <c r="S7" s="12">
        <v>0.01</v>
      </c>
      <c r="T7" s="12">
        <v>5.85</v>
      </c>
      <c r="W7" s="12">
        <v>0.01</v>
      </c>
      <c r="X7" s="12">
        <v>5.84</v>
      </c>
      <c r="AA7" s="12">
        <v>0.01</v>
      </c>
      <c r="AB7" s="12">
        <v>5.83</v>
      </c>
    </row>
    <row r="8" spans="1:42" x14ac:dyDescent="0.25">
      <c r="A8" s="12" t="s">
        <v>49</v>
      </c>
      <c r="B8" s="12" t="s">
        <v>147</v>
      </c>
      <c r="C8" s="12">
        <v>1</v>
      </c>
      <c r="D8" s="12">
        <v>6.89</v>
      </c>
      <c r="E8" s="12">
        <v>1</v>
      </c>
      <c r="F8" s="12">
        <v>6.91</v>
      </c>
      <c r="I8" s="12">
        <v>0.01</v>
      </c>
      <c r="J8" s="12">
        <v>6.92</v>
      </c>
      <c r="M8" s="12">
        <v>0.01</v>
      </c>
      <c r="N8" s="12">
        <v>6.93</v>
      </c>
      <c r="Q8" s="12">
        <v>0.01</v>
      </c>
      <c r="R8" s="12">
        <v>6.94</v>
      </c>
      <c r="U8" s="12">
        <v>0.01</v>
      </c>
      <c r="V8" s="12">
        <v>6.95</v>
      </c>
    </row>
    <row r="9" spans="1:42" x14ac:dyDescent="0.25">
      <c r="A9" s="12" t="s">
        <v>50</v>
      </c>
      <c r="B9" s="12" t="s">
        <v>173</v>
      </c>
      <c r="C9" s="12">
        <v>1</v>
      </c>
      <c r="D9" s="12">
        <v>7.92</v>
      </c>
      <c r="E9" s="12">
        <v>1</v>
      </c>
      <c r="F9" s="12">
        <v>7.94</v>
      </c>
      <c r="G9" s="12">
        <v>0.01</v>
      </c>
      <c r="H9" s="12">
        <v>7.91</v>
      </c>
      <c r="I9" s="12">
        <v>0.01</v>
      </c>
      <c r="J9" s="12">
        <v>7.95</v>
      </c>
      <c r="K9" s="12">
        <v>0.01</v>
      </c>
      <c r="L9" s="12">
        <v>7.9</v>
      </c>
      <c r="M9" s="12">
        <v>0.01</v>
      </c>
      <c r="N9" s="12">
        <v>7.96</v>
      </c>
      <c r="O9" s="12">
        <v>0.01</v>
      </c>
      <c r="P9" s="12">
        <v>7.89</v>
      </c>
      <c r="Q9" s="12">
        <v>0.01</v>
      </c>
      <c r="R9" s="12">
        <v>7.97</v>
      </c>
      <c r="S9" s="12">
        <v>0.01</v>
      </c>
      <c r="T9" s="12">
        <v>7.88</v>
      </c>
      <c r="U9" s="12">
        <v>0.01</v>
      </c>
      <c r="V9" s="12">
        <v>7.98</v>
      </c>
      <c r="Y9" s="12">
        <v>0.01</v>
      </c>
      <c r="Z9" s="12">
        <v>7.99</v>
      </c>
      <c r="AC9" s="12">
        <v>0.01</v>
      </c>
      <c r="AD9" s="12">
        <v>8</v>
      </c>
      <c r="AG9" s="12">
        <v>0.01</v>
      </c>
      <c r="AH9" s="12">
        <v>8.01</v>
      </c>
    </row>
    <row r="10" spans="1:42" x14ac:dyDescent="0.25">
      <c r="A10" s="12" t="s">
        <v>51</v>
      </c>
      <c r="B10" s="12" t="s">
        <v>173</v>
      </c>
      <c r="C10" s="12">
        <v>1</v>
      </c>
      <c r="D10" s="12">
        <v>8.92</v>
      </c>
      <c r="E10" s="12">
        <v>1</v>
      </c>
      <c r="F10" s="12">
        <v>8.94</v>
      </c>
      <c r="G10" s="12">
        <v>0.01</v>
      </c>
      <c r="H10" s="12">
        <v>8.91</v>
      </c>
      <c r="K10" s="12">
        <v>0.01</v>
      </c>
      <c r="L10" s="12">
        <v>8.9</v>
      </c>
      <c r="O10" s="12">
        <v>0.01</v>
      </c>
      <c r="P10" s="12">
        <v>8.89</v>
      </c>
    </row>
    <row r="11" spans="1:42" x14ac:dyDescent="0.25">
      <c r="A11" s="12" t="s">
        <v>52</v>
      </c>
      <c r="B11" s="12" t="s">
        <v>149</v>
      </c>
      <c r="C11" s="12">
        <v>1</v>
      </c>
      <c r="D11" s="12">
        <v>9.89</v>
      </c>
      <c r="E11" s="12">
        <v>1</v>
      </c>
      <c r="F11" s="12">
        <v>9.91</v>
      </c>
      <c r="G11" s="12">
        <v>0.01</v>
      </c>
      <c r="H11" s="12">
        <v>9.8800000000000008</v>
      </c>
      <c r="I11" s="12">
        <v>0.01</v>
      </c>
      <c r="J11" s="12">
        <v>9.92</v>
      </c>
      <c r="K11" s="12">
        <v>0.01</v>
      </c>
      <c r="L11" s="12">
        <v>9.8699999999999992</v>
      </c>
      <c r="M11" s="12">
        <v>0.01</v>
      </c>
      <c r="N11" s="12">
        <v>9.93</v>
      </c>
      <c r="O11" s="12">
        <v>0.01</v>
      </c>
      <c r="P11" s="12">
        <v>9.86</v>
      </c>
      <c r="Q11" s="12">
        <v>0.01</v>
      </c>
      <c r="R11" s="12">
        <v>9.94</v>
      </c>
      <c r="S11" s="12">
        <v>0.01</v>
      </c>
      <c r="T11" s="12">
        <v>9.85</v>
      </c>
      <c r="U11" s="12">
        <v>0.01</v>
      </c>
      <c r="V11" s="12">
        <v>9.9499999999999993</v>
      </c>
      <c r="W11" s="12">
        <v>0.01</v>
      </c>
      <c r="X11" s="12">
        <v>9.84</v>
      </c>
      <c r="Y11" s="12">
        <v>0.01</v>
      </c>
      <c r="Z11" s="12">
        <v>9.9600000000000009</v>
      </c>
      <c r="AA11" s="12">
        <v>0.01</v>
      </c>
      <c r="AB11" s="12">
        <v>9.83</v>
      </c>
      <c r="AC11" s="12">
        <v>0.01</v>
      </c>
      <c r="AD11" s="12">
        <v>9.9700000000000006</v>
      </c>
      <c r="AE11" s="12">
        <v>0.01</v>
      </c>
      <c r="AF11" s="12">
        <v>9.82</v>
      </c>
      <c r="AG11" s="12">
        <v>0.01</v>
      </c>
      <c r="AH11" s="12">
        <v>9.98</v>
      </c>
      <c r="AI11" s="12">
        <v>0.01</v>
      </c>
      <c r="AJ11" s="12">
        <v>9.81</v>
      </c>
      <c r="AK11" s="12">
        <v>0.01</v>
      </c>
      <c r="AL11" s="12">
        <v>9.99</v>
      </c>
      <c r="AO11" s="12">
        <v>0.01</v>
      </c>
      <c r="AP11" s="12">
        <v>10</v>
      </c>
    </row>
    <row r="12" spans="1:42" x14ac:dyDescent="0.25">
      <c r="A12" s="12" t="s">
        <v>53</v>
      </c>
      <c r="B12" s="12" t="s">
        <v>149</v>
      </c>
      <c r="C12" s="12">
        <v>1</v>
      </c>
      <c r="D12" s="12">
        <v>10.89</v>
      </c>
      <c r="E12" s="12">
        <v>1</v>
      </c>
      <c r="F12" s="12">
        <v>10.91</v>
      </c>
      <c r="G12" s="12">
        <v>0.01</v>
      </c>
      <c r="H12" s="12">
        <v>10.88</v>
      </c>
      <c r="I12" s="12">
        <v>0.01</v>
      </c>
      <c r="J12" s="12">
        <v>10.92</v>
      </c>
      <c r="K12" s="12">
        <v>0.01</v>
      </c>
      <c r="L12" s="12">
        <v>10.87</v>
      </c>
      <c r="M12" s="12">
        <v>0.01</v>
      </c>
      <c r="N12" s="12">
        <v>10.93</v>
      </c>
      <c r="Q12" s="12">
        <v>0.01</v>
      </c>
      <c r="R12" s="12">
        <v>10.94</v>
      </c>
      <c r="U12" s="12">
        <v>0.01</v>
      </c>
      <c r="V12" s="12">
        <v>10.95</v>
      </c>
    </row>
    <row r="13" spans="1:42" x14ac:dyDescent="0.25">
      <c r="A13" s="12" t="s">
        <v>54</v>
      </c>
      <c r="B13" s="12" t="s">
        <v>173</v>
      </c>
      <c r="C13" s="12">
        <v>1</v>
      </c>
      <c r="D13" s="12">
        <v>11.92</v>
      </c>
      <c r="E13" s="12">
        <v>1</v>
      </c>
      <c r="F13" s="12">
        <v>11.94</v>
      </c>
      <c r="G13" s="12">
        <v>0.01</v>
      </c>
      <c r="H13" s="12">
        <v>11.91</v>
      </c>
      <c r="I13" s="12">
        <v>0.01</v>
      </c>
      <c r="J13" s="12">
        <v>11.95</v>
      </c>
      <c r="K13" s="12">
        <v>0.01</v>
      </c>
      <c r="L13" s="12">
        <v>11.9</v>
      </c>
      <c r="M13" s="12">
        <v>0.01</v>
      </c>
      <c r="N13" s="12">
        <v>11.96</v>
      </c>
      <c r="O13" s="12">
        <v>0.01</v>
      </c>
      <c r="P13" s="12">
        <v>11.89</v>
      </c>
      <c r="Q13" s="12">
        <v>0.01</v>
      </c>
      <c r="R13" s="12">
        <v>11.97</v>
      </c>
      <c r="S13" s="12">
        <v>0.01</v>
      </c>
      <c r="T13" s="12">
        <v>11.88</v>
      </c>
      <c r="U13" s="12">
        <v>0.01</v>
      </c>
      <c r="V13" s="12">
        <v>11.98</v>
      </c>
      <c r="W13" s="12">
        <v>0.01</v>
      </c>
      <c r="X13" s="12">
        <v>11.87</v>
      </c>
      <c r="Y13" s="12">
        <v>0.01</v>
      </c>
      <c r="Z13" s="12">
        <v>11.99</v>
      </c>
      <c r="AA13" s="12">
        <v>0.01</v>
      </c>
      <c r="AB13" s="12">
        <v>11.86</v>
      </c>
      <c r="AC13" s="12">
        <v>0.01</v>
      </c>
      <c r="AD13" s="12">
        <v>12</v>
      </c>
      <c r="AE13" s="12">
        <v>0.01</v>
      </c>
      <c r="AF13" s="12">
        <v>11.85</v>
      </c>
      <c r="AG13" s="12">
        <v>0.01</v>
      </c>
      <c r="AH13" s="12">
        <v>12.01</v>
      </c>
      <c r="AI13" s="12">
        <v>0.01</v>
      </c>
      <c r="AJ13" s="12">
        <v>11.84</v>
      </c>
      <c r="AK13" s="12">
        <v>0.01</v>
      </c>
      <c r="AL13" s="12">
        <v>12.02</v>
      </c>
      <c r="AO13" s="12">
        <v>0.01</v>
      </c>
      <c r="AP13" s="12">
        <v>12.03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12.89</v>
      </c>
      <c r="E14" s="12">
        <v>1</v>
      </c>
      <c r="F14" s="12">
        <v>12.91</v>
      </c>
      <c r="G14" s="12">
        <v>0.01</v>
      </c>
      <c r="H14" s="12">
        <v>12.88</v>
      </c>
      <c r="I14" s="12">
        <v>0.01</v>
      </c>
      <c r="J14" s="12">
        <v>12.92</v>
      </c>
      <c r="M14" s="12">
        <v>0.01</v>
      </c>
      <c r="N14" s="12">
        <v>12.93</v>
      </c>
      <c r="Q14" s="12">
        <v>0.01</v>
      </c>
      <c r="R14" s="12">
        <v>12.94</v>
      </c>
      <c r="U14" s="12">
        <v>0.01</v>
      </c>
      <c r="V14" s="12">
        <v>12.95</v>
      </c>
      <c r="Y14" s="12">
        <v>0.01</v>
      </c>
      <c r="Z14" s="12">
        <v>12.96</v>
      </c>
      <c r="AC14" s="12">
        <v>0.01</v>
      </c>
      <c r="AD14" s="12">
        <v>12.97</v>
      </c>
    </row>
    <row r="15" spans="1:42" x14ac:dyDescent="0.25">
      <c r="A15" s="12" t="s">
        <v>43</v>
      </c>
      <c r="B15" s="12" t="s">
        <v>173</v>
      </c>
      <c r="C15" s="12">
        <v>1</v>
      </c>
      <c r="D15" s="12">
        <v>0.92</v>
      </c>
      <c r="E15" s="12">
        <v>1</v>
      </c>
      <c r="F15" s="12">
        <v>0.94</v>
      </c>
      <c r="I15" s="12">
        <v>0.01</v>
      </c>
      <c r="J15" s="12">
        <v>0.95</v>
      </c>
      <c r="M15" s="12">
        <v>0.01</v>
      </c>
      <c r="N15" s="12">
        <v>0.96</v>
      </c>
    </row>
    <row r="16" spans="1:42" x14ac:dyDescent="0.25">
      <c r="A16" s="12" t="s">
        <v>56</v>
      </c>
      <c r="B16" s="12" t="s">
        <v>174</v>
      </c>
      <c r="C16" s="12">
        <v>1</v>
      </c>
      <c r="D16" s="12">
        <v>13.92</v>
      </c>
      <c r="E16" s="12">
        <v>1</v>
      </c>
      <c r="F16" s="12">
        <v>13.94</v>
      </c>
      <c r="G16" s="12">
        <v>0.01</v>
      </c>
      <c r="H16" s="12">
        <v>13.91</v>
      </c>
      <c r="I16" s="12">
        <v>0.01</v>
      </c>
      <c r="J16" s="12">
        <v>13.95</v>
      </c>
    </row>
    <row r="17" spans="1:40" x14ac:dyDescent="0.25">
      <c r="A17" s="12" t="s">
        <v>57</v>
      </c>
      <c r="B17" s="12" t="s">
        <v>150</v>
      </c>
      <c r="C17" s="12">
        <v>1</v>
      </c>
      <c r="D17" s="12">
        <v>14.89</v>
      </c>
      <c r="E17" s="12">
        <v>1</v>
      </c>
      <c r="F17" s="12">
        <v>14.91</v>
      </c>
      <c r="G17" s="12">
        <v>0.01</v>
      </c>
      <c r="H17" s="12">
        <v>14.88</v>
      </c>
      <c r="I17" s="12">
        <v>0.01</v>
      </c>
      <c r="J17" s="12">
        <v>14.92</v>
      </c>
      <c r="K17" s="12">
        <v>0.01</v>
      </c>
      <c r="L17" s="12">
        <v>14.87</v>
      </c>
      <c r="M17" s="12">
        <v>0.01</v>
      </c>
      <c r="N17" s="12">
        <v>14.93</v>
      </c>
      <c r="Q17" s="12">
        <v>0.01</v>
      </c>
      <c r="R17" s="12">
        <v>14.94</v>
      </c>
      <c r="U17" s="12">
        <v>0.01</v>
      </c>
      <c r="V17" s="12">
        <v>14.95</v>
      </c>
      <c r="Y17" s="12">
        <v>0.01</v>
      </c>
      <c r="Z17" s="12">
        <v>14.96</v>
      </c>
      <c r="AC17" s="12">
        <v>0.01</v>
      </c>
      <c r="AD17" s="12">
        <v>14.97</v>
      </c>
    </row>
    <row r="18" spans="1:40" x14ac:dyDescent="0.25">
      <c r="A18" s="12" t="s">
        <v>58</v>
      </c>
      <c r="B18" s="12" t="s">
        <v>150</v>
      </c>
      <c r="C18" s="12">
        <v>1</v>
      </c>
      <c r="D18" s="12">
        <v>15.89</v>
      </c>
      <c r="E18" s="12">
        <v>1</v>
      </c>
      <c r="F18" s="12">
        <v>15.91</v>
      </c>
      <c r="G18" s="12">
        <v>0.01</v>
      </c>
      <c r="H18" s="12">
        <v>15.88</v>
      </c>
      <c r="I18" s="12">
        <v>0.01</v>
      </c>
      <c r="J18" s="12">
        <v>15.92</v>
      </c>
      <c r="M18" s="12">
        <v>0.01</v>
      </c>
      <c r="N18" s="12">
        <v>15.93</v>
      </c>
    </row>
    <row r="19" spans="1:40" x14ac:dyDescent="0.25">
      <c r="A19" s="12" t="s">
        <v>59</v>
      </c>
      <c r="B19" s="12" t="s">
        <v>150</v>
      </c>
      <c r="C19" s="12">
        <v>1</v>
      </c>
      <c r="D19" s="12">
        <v>16.89</v>
      </c>
      <c r="E19" s="12">
        <v>1</v>
      </c>
      <c r="F19" s="12">
        <v>16.91</v>
      </c>
      <c r="G19" s="12">
        <v>0.01</v>
      </c>
      <c r="H19" s="12">
        <v>16.88</v>
      </c>
      <c r="I19" s="12">
        <v>0.01</v>
      </c>
      <c r="J19" s="12">
        <v>16.920000000000002</v>
      </c>
      <c r="K19" s="12">
        <v>0.01</v>
      </c>
      <c r="L19" s="12">
        <v>16.87</v>
      </c>
      <c r="M19" s="12">
        <v>0.01</v>
      </c>
      <c r="N19" s="12">
        <v>16.93</v>
      </c>
      <c r="Q19" s="12">
        <v>0.01</v>
      </c>
      <c r="R19" s="12">
        <v>16.940000000000001</v>
      </c>
      <c r="U19" s="12">
        <v>0.01</v>
      </c>
      <c r="V19" s="12">
        <v>16.95</v>
      </c>
      <c r="Y19" s="12">
        <v>0.01</v>
      </c>
      <c r="Z19" s="12">
        <v>16.96</v>
      </c>
    </row>
    <row r="20" spans="1:40" x14ac:dyDescent="0.25">
      <c r="A20" s="12" t="s">
        <v>60</v>
      </c>
      <c r="B20" s="12" t="s">
        <v>150</v>
      </c>
      <c r="C20" s="12">
        <v>1</v>
      </c>
      <c r="D20" s="12">
        <v>17.89</v>
      </c>
      <c r="E20" s="12">
        <v>1</v>
      </c>
      <c r="F20" s="12">
        <v>17.91</v>
      </c>
      <c r="G20" s="12">
        <v>0.01</v>
      </c>
      <c r="H20" s="12">
        <v>17.88</v>
      </c>
      <c r="I20" s="12">
        <v>0.01</v>
      </c>
      <c r="J20" s="12">
        <v>17.920000000000002</v>
      </c>
      <c r="K20" s="12">
        <v>0.01</v>
      </c>
      <c r="L20" s="12">
        <v>17.87</v>
      </c>
      <c r="M20" s="12">
        <v>0.01</v>
      </c>
      <c r="N20" s="12">
        <v>17.93</v>
      </c>
      <c r="O20" s="12">
        <v>0.01</v>
      </c>
      <c r="P20" s="12">
        <v>17.86</v>
      </c>
      <c r="S20" s="12">
        <v>0.01</v>
      </c>
      <c r="T20" s="12">
        <v>17.850000000000001</v>
      </c>
      <c r="W20" s="12">
        <v>0.01</v>
      </c>
      <c r="X20" s="12">
        <v>17.84</v>
      </c>
      <c r="AA20" s="12">
        <v>0.01</v>
      </c>
      <c r="AB20" s="12">
        <v>17.829999999999998</v>
      </c>
    </row>
    <row r="21" spans="1:40" x14ac:dyDescent="0.25">
      <c r="A21" s="12" t="s">
        <v>61</v>
      </c>
      <c r="B21" s="12" t="s">
        <v>150</v>
      </c>
      <c r="C21" s="12">
        <v>1</v>
      </c>
      <c r="D21" s="12">
        <v>18.89</v>
      </c>
      <c r="E21" s="12">
        <v>1</v>
      </c>
      <c r="F21" s="12">
        <v>18.91</v>
      </c>
      <c r="G21" s="12">
        <v>0.01</v>
      </c>
      <c r="H21" s="12">
        <v>18.88</v>
      </c>
      <c r="K21" s="12">
        <v>0.01</v>
      </c>
      <c r="L21" s="12">
        <v>18.87</v>
      </c>
      <c r="O21" s="12">
        <v>0.01</v>
      </c>
      <c r="P21" s="12">
        <v>18.86</v>
      </c>
      <c r="S21" s="12">
        <v>0.01</v>
      </c>
      <c r="T21" s="12">
        <v>18.850000000000001</v>
      </c>
    </row>
    <row r="22" spans="1:40" x14ac:dyDescent="0.25">
      <c r="A22" s="12" t="s">
        <v>62</v>
      </c>
      <c r="B22" s="12" t="s">
        <v>174</v>
      </c>
      <c r="C22" s="12">
        <v>1</v>
      </c>
      <c r="D22" s="12">
        <v>19.920000000000002</v>
      </c>
      <c r="E22" s="12">
        <v>1</v>
      </c>
      <c r="F22" s="12">
        <v>19.940000000000001</v>
      </c>
      <c r="G22" s="12">
        <v>0.01</v>
      </c>
      <c r="H22" s="12">
        <v>19.91</v>
      </c>
      <c r="I22" s="12">
        <v>0.01</v>
      </c>
      <c r="J22" s="12">
        <v>19.95</v>
      </c>
      <c r="K22" s="12">
        <v>0.01</v>
      </c>
      <c r="L22" s="12">
        <v>19.899999999999999</v>
      </c>
      <c r="M22" s="12">
        <v>0.01</v>
      </c>
      <c r="N22" s="12">
        <v>19.96</v>
      </c>
      <c r="O22" s="12">
        <v>0.01</v>
      </c>
      <c r="P22" s="12">
        <v>19.89</v>
      </c>
      <c r="Q22" s="12">
        <v>0.01</v>
      </c>
      <c r="R22" s="12">
        <v>19.97</v>
      </c>
      <c r="S22" s="12">
        <v>0.01</v>
      </c>
      <c r="T22" s="12">
        <v>19.88</v>
      </c>
      <c r="U22" s="12">
        <v>0.01</v>
      </c>
      <c r="V22" s="12">
        <v>19.98</v>
      </c>
      <c r="W22" s="12">
        <v>0.01</v>
      </c>
      <c r="X22" s="12">
        <v>19.87</v>
      </c>
      <c r="AA22" s="12">
        <v>0.01</v>
      </c>
      <c r="AB22" s="12">
        <v>19.86</v>
      </c>
    </row>
    <row r="23" spans="1:40" x14ac:dyDescent="0.25">
      <c r="A23" s="12" t="s">
        <v>63</v>
      </c>
      <c r="B23" s="12" t="s">
        <v>148</v>
      </c>
      <c r="C23" s="12">
        <v>1</v>
      </c>
      <c r="D23" s="12">
        <v>20.89</v>
      </c>
      <c r="E23" s="12">
        <v>1</v>
      </c>
      <c r="F23" s="12">
        <v>20.91</v>
      </c>
      <c r="G23" s="12">
        <v>0.01</v>
      </c>
      <c r="H23" s="12">
        <v>20.88</v>
      </c>
      <c r="I23" s="12">
        <v>0.01</v>
      </c>
      <c r="J23" s="12">
        <v>20.92</v>
      </c>
      <c r="K23" s="12">
        <v>0.01</v>
      </c>
      <c r="L23" s="12">
        <v>20.87</v>
      </c>
      <c r="M23" s="12">
        <v>0.01</v>
      </c>
      <c r="N23" s="12">
        <v>20.93</v>
      </c>
      <c r="O23" s="12">
        <v>0.01</v>
      </c>
      <c r="P23" s="12">
        <v>20.86</v>
      </c>
      <c r="S23" s="12">
        <v>0.01</v>
      </c>
      <c r="T23" s="12">
        <v>20.85</v>
      </c>
      <c r="W23" s="12">
        <v>0.01</v>
      </c>
      <c r="X23" s="12">
        <v>20.84</v>
      </c>
      <c r="AA23" s="12">
        <v>0.01</v>
      </c>
      <c r="AB23" s="12">
        <v>20.83</v>
      </c>
    </row>
    <row r="24" spans="1:40" x14ac:dyDescent="0.25">
      <c r="A24" s="12" t="s">
        <v>64</v>
      </c>
      <c r="B24" s="12" t="s">
        <v>174</v>
      </c>
      <c r="C24" s="12">
        <v>1</v>
      </c>
      <c r="D24" s="12">
        <v>21.92</v>
      </c>
      <c r="E24" s="12">
        <v>1</v>
      </c>
      <c r="F24" s="12">
        <v>21.94</v>
      </c>
    </row>
    <row r="25" spans="1:40" x14ac:dyDescent="0.25">
      <c r="A25" s="12" t="s">
        <v>65</v>
      </c>
      <c r="B25" s="12" t="s">
        <v>174</v>
      </c>
      <c r="C25" s="12">
        <v>1</v>
      </c>
      <c r="D25" s="12">
        <v>22.92</v>
      </c>
      <c r="E25" s="12">
        <v>1</v>
      </c>
      <c r="F25" s="12">
        <v>22.94</v>
      </c>
      <c r="G25" s="12">
        <v>0.01</v>
      </c>
      <c r="H25" s="12">
        <v>22.91</v>
      </c>
      <c r="I25" s="12">
        <v>0.01</v>
      </c>
      <c r="J25" s="12">
        <v>22.95</v>
      </c>
      <c r="K25" s="12">
        <v>0.01</v>
      </c>
      <c r="L25" s="12">
        <v>22.9</v>
      </c>
      <c r="M25" s="12">
        <v>0.01</v>
      </c>
      <c r="N25" s="12">
        <v>22.96</v>
      </c>
      <c r="O25" s="12">
        <v>0.01</v>
      </c>
      <c r="P25" s="12">
        <v>22.89</v>
      </c>
      <c r="Q25" s="12">
        <v>0.01</v>
      </c>
      <c r="R25" s="12">
        <v>22.97</v>
      </c>
      <c r="S25" s="12">
        <v>0.01</v>
      </c>
      <c r="T25" s="12">
        <v>22.88</v>
      </c>
      <c r="U25" s="12">
        <v>0.01</v>
      </c>
      <c r="V25" s="12">
        <v>22.98</v>
      </c>
      <c r="W25" s="12">
        <v>0.01</v>
      </c>
      <c r="X25" s="12">
        <v>22.87</v>
      </c>
      <c r="Y25" s="12">
        <v>0.01</v>
      </c>
      <c r="Z25" s="12">
        <v>22.99</v>
      </c>
      <c r="AA25" s="12">
        <v>0.01</v>
      </c>
      <c r="AB25" s="12">
        <v>22.86</v>
      </c>
      <c r="AC25" s="12">
        <v>0.01</v>
      </c>
      <c r="AD25" s="12">
        <v>23</v>
      </c>
      <c r="AE25" s="12">
        <v>0.01</v>
      </c>
      <c r="AF25" s="12">
        <v>22.85</v>
      </c>
      <c r="AG25" s="12">
        <v>0.01</v>
      </c>
      <c r="AH25" s="12">
        <v>23.01</v>
      </c>
      <c r="AI25" s="12">
        <v>0.01</v>
      </c>
      <c r="AJ25" s="12">
        <v>22.84</v>
      </c>
      <c r="AK25" s="12">
        <v>0.01</v>
      </c>
      <c r="AL25" s="12">
        <v>23.02</v>
      </c>
      <c r="AM25" s="12">
        <v>0.01</v>
      </c>
      <c r="AN25" s="12">
        <v>22.83</v>
      </c>
    </row>
    <row r="26" spans="1:40" x14ac:dyDescent="0.25">
      <c r="A26" s="12" t="s">
        <v>66</v>
      </c>
      <c r="B26" s="12" t="s">
        <v>172</v>
      </c>
      <c r="C26" s="12">
        <v>1</v>
      </c>
      <c r="D26" s="12">
        <v>23.92</v>
      </c>
      <c r="E26" s="12">
        <v>1</v>
      </c>
      <c r="F26" s="12">
        <v>23.94</v>
      </c>
      <c r="G26" s="12">
        <v>0.01</v>
      </c>
      <c r="H26" s="12">
        <v>23.91</v>
      </c>
      <c r="I26" s="12">
        <v>0.01</v>
      </c>
      <c r="J26" s="12">
        <v>23.95</v>
      </c>
      <c r="K26" s="12">
        <v>0.01</v>
      </c>
      <c r="L26" s="12">
        <v>23.9</v>
      </c>
      <c r="M26" s="12">
        <v>0.01</v>
      </c>
      <c r="N26" s="12">
        <v>23.96</v>
      </c>
      <c r="Q26" s="12">
        <v>0.01</v>
      </c>
      <c r="R26" s="12">
        <v>23.97</v>
      </c>
      <c r="U26" s="12">
        <v>0.01</v>
      </c>
      <c r="V26" s="12">
        <v>23.98</v>
      </c>
      <c r="Y26" s="12">
        <v>0.01</v>
      </c>
      <c r="Z26" s="12">
        <v>23.99</v>
      </c>
    </row>
    <row r="27" spans="1:40" x14ac:dyDescent="0.25">
      <c r="A27" s="12" t="s">
        <v>67</v>
      </c>
      <c r="B27" s="12" t="s">
        <v>172</v>
      </c>
      <c r="C27" s="12">
        <v>1</v>
      </c>
      <c r="D27" s="12">
        <v>24.92</v>
      </c>
      <c r="E27" s="12">
        <v>1</v>
      </c>
      <c r="F27" s="12">
        <v>24.94</v>
      </c>
      <c r="G27" s="12">
        <v>0.01</v>
      </c>
      <c r="H27" s="12">
        <v>24.91</v>
      </c>
      <c r="K27" s="12">
        <v>0.01</v>
      </c>
      <c r="L27" s="12">
        <v>24.9</v>
      </c>
      <c r="O27" s="12">
        <v>0.01</v>
      </c>
      <c r="P27" s="12">
        <v>24.89</v>
      </c>
      <c r="S27" s="12">
        <v>0.01</v>
      </c>
      <c r="T27" s="12">
        <v>24.88</v>
      </c>
      <c r="W27" s="12">
        <v>0.01</v>
      </c>
      <c r="X27" s="12">
        <v>24.87</v>
      </c>
      <c r="AA27" s="12">
        <v>0.01</v>
      </c>
      <c r="AB27" s="12">
        <v>24.86</v>
      </c>
      <c r="AE27" s="12">
        <v>0.01</v>
      </c>
      <c r="AF27" s="12">
        <v>24.85</v>
      </c>
      <c r="AI27" s="12">
        <v>0.01</v>
      </c>
      <c r="AJ27" s="12">
        <v>24.84</v>
      </c>
      <c r="AM27" s="12">
        <v>0.01</v>
      </c>
      <c r="AN27" s="12">
        <v>24.83</v>
      </c>
    </row>
    <row r="28" spans="1:40" x14ac:dyDescent="0.25">
      <c r="A28" s="12" t="s">
        <v>68</v>
      </c>
      <c r="B28" s="12" t="s">
        <v>153</v>
      </c>
      <c r="C28" s="12">
        <v>1</v>
      </c>
      <c r="D28" s="12">
        <v>25.89</v>
      </c>
      <c r="E28" s="12">
        <v>1</v>
      </c>
      <c r="F28" s="12">
        <v>25.91</v>
      </c>
      <c r="G28" s="12">
        <v>0.01</v>
      </c>
      <c r="H28" s="12">
        <v>25.88</v>
      </c>
      <c r="I28" s="12">
        <v>0.01</v>
      </c>
      <c r="J28" s="12">
        <v>25.92</v>
      </c>
      <c r="K28" s="12">
        <v>0.01</v>
      </c>
      <c r="L28" s="12">
        <v>25.87</v>
      </c>
      <c r="M28" s="12">
        <v>0.01</v>
      </c>
      <c r="N28" s="12">
        <v>25.93</v>
      </c>
      <c r="O28" s="12">
        <v>0.01</v>
      </c>
      <c r="P28" s="12">
        <v>25.86</v>
      </c>
      <c r="Q28" s="12">
        <v>0.01</v>
      </c>
      <c r="R28" s="12">
        <v>25.94</v>
      </c>
      <c r="S28" s="12">
        <v>0.01</v>
      </c>
      <c r="T28" s="12">
        <v>25.85</v>
      </c>
      <c r="U28" s="12">
        <v>0.01</v>
      </c>
      <c r="V28" s="12">
        <v>25.95</v>
      </c>
      <c r="Y28" s="12">
        <v>0.01</v>
      </c>
      <c r="Z28" s="12">
        <v>25.96</v>
      </c>
      <c r="AC28" s="12">
        <v>0.01</v>
      </c>
      <c r="AD28" s="12">
        <v>25.97</v>
      </c>
      <c r="AG28" s="12">
        <v>0.01</v>
      </c>
      <c r="AH28" s="12">
        <v>25.98</v>
      </c>
      <c r="AK28" s="12">
        <v>0.01</v>
      </c>
      <c r="AL28" s="12">
        <v>25.99</v>
      </c>
    </row>
    <row r="29" spans="1:40" x14ac:dyDescent="0.25">
      <c r="A29" s="12" t="s">
        <v>69</v>
      </c>
      <c r="B29" s="12" t="s">
        <v>172</v>
      </c>
      <c r="C29" s="12">
        <v>1</v>
      </c>
      <c r="D29" s="12">
        <v>26.92</v>
      </c>
      <c r="E29" s="12">
        <v>1</v>
      </c>
      <c r="F29" s="12">
        <v>26.94</v>
      </c>
      <c r="G29" s="12">
        <v>0.01</v>
      </c>
      <c r="H29" s="12">
        <v>26.91</v>
      </c>
      <c r="I29" s="12">
        <v>0.01</v>
      </c>
      <c r="J29" s="12">
        <v>26.95</v>
      </c>
      <c r="K29" s="12">
        <v>0.01</v>
      </c>
      <c r="L29" s="12">
        <v>26.9</v>
      </c>
      <c r="M29" s="12">
        <v>0.01</v>
      </c>
      <c r="N29" s="12">
        <v>26.96</v>
      </c>
      <c r="O29" s="12">
        <v>0.01</v>
      </c>
      <c r="P29" s="12">
        <v>26.89</v>
      </c>
      <c r="Q29" s="12">
        <v>0.01</v>
      </c>
      <c r="R29" s="12">
        <v>26.97</v>
      </c>
      <c r="S29" s="12">
        <v>0.01</v>
      </c>
      <c r="T29" s="12">
        <v>26.88</v>
      </c>
      <c r="U29" s="12">
        <v>0.01</v>
      </c>
      <c r="V29" s="12">
        <v>26.98</v>
      </c>
      <c r="W29" s="12">
        <v>0.01</v>
      </c>
      <c r="X29" s="12">
        <v>26.87</v>
      </c>
      <c r="Y29" s="12">
        <v>0.01</v>
      </c>
      <c r="Z29" s="12">
        <v>26.99</v>
      </c>
    </row>
    <row r="30" spans="1:40" x14ac:dyDescent="0.25">
      <c r="A30" s="12" t="s">
        <v>70</v>
      </c>
      <c r="B30" s="12" t="s">
        <v>172</v>
      </c>
      <c r="C30" s="12">
        <v>1</v>
      </c>
      <c r="D30" s="12">
        <v>27.92</v>
      </c>
      <c r="E30" s="12">
        <v>1</v>
      </c>
      <c r="F30" s="12">
        <v>27.94</v>
      </c>
      <c r="G30" s="12">
        <v>0.01</v>
      </c>
      <c r="H30" s="12">
        <v>27.91</v>
      </c>
      <c r="I30" s="12">
        <v>0.01</v>
      </c>
      <c r="J30" s="12">
        <v>27.95</v>
      </c>
      <c r="K30" s="12">
        <v>0.01</v>
      </c>
      <c r="L30" s="12">
        <v>27.9</v>
      </c>
      <c r="M30" s="12">
        <v>0.01</v>
      </c>
      <c r="N30" s="12">
        <v>27.96</v>
      </c>
      <c r="O30" s="12">
        <v>0.01</v>
      </c>
      <c r="P30" s="12">
        <v>27.89</v>
      </c>
      <c r="Q30" s="12">
        <v>0.01</v>
      </c>
      <c r="R30" s="12">
        <v>27.97</v>
      </c>
      <c r="S30" s="12">
        <v>0.01</v>
      </c>
      <c r="T30" s="12">
        <v>27.88</v>
      </c>
      <c r="U30" s="12">
        <v>0.01</v>
      </c>
      <c r="V30" s="12">
        <v>27.98</v>
      </c>
      <c r="W30" s="12">
        <v>0.01</v>
      </c>
      <c r="X30" s="12">
        <v>27.87</v>
      </c>
    </row>
    <row r="31" spans="1:40" x14ac:dyDescent="0.25">
      <c r="A31" s="12" t="s">
        <v>71</v>
      </c>
      <c r="B31" s="12" t="s">
        <v>172</v>
      </c>
      <c r="C31" s="12">
        <v>1</v>
      </c>
      <c r="D31" s="12">
        <v>28.92</v>
      </c>
      <c r="E31" s="12">
        <v>1</v>
      </c>
      <c r="F31" s="12">
        <v>28.94</v>
      </c>
      <c r="G31" s="12">
        <v>0.01</v>
      </c>
      <c r="H31" s="12">
        <v>28.91</v>
      </c>
      <c r="I31" s="12">
        <v>0.01</v>
      </c>
      <c r="J31" s="12">
        <v>28.95</v>
      </c>
      <c r="K31" s="12">
        <v>0.01</v>
      </c>
      <c r="L31" s="12">
        <v>28.9</v>
      </c>
      <c r="M31" s="12">
        <v>0.01</v>
      </c>
      <c r="N31" s="12">
        <v>28.96</v>
      </c>
      <c r="O31" s="12">
        <v>0.01</v>
      </c>
      <c r="P31" s="12">
        <v>28.89</v>
      </c>
      <c r="S31" s="12">
        <v>0.01</v>
      </c>
      <c r="T31" s="12">
        <v>28.88</v>
      </c>
      <c r="W31" s="12">
        <v>0.01</v>
      </c>
      <c r="X31" s="12">
        <v>28.87</v>
      </c>
      <c r="AA31" s="12">
        <v>0.01</v>
      </c>
      <c r="AB31" s="12">
        <v>28.86</v>
      </c>
      <c r="AE31" s="12">
        <v>0.01</v>
      </c>
      <c r="AF31" s="12">
        <v>28.85</v>
      </c>
      <c r="AI31" s="12">
        <v>0.01</v>
      </c>
      <c r="AJ31" s="12">
        <v>28.84</v>
      </c>
      <c r="AM31" s="12">
        <v>0.01</v>
      </c>
      <c r="AN31" s="12">
        <v>28.83</v>
      </c>
    </row>
    <row r="32" spans="1:40" x14ac:dyDescent="0.25">
      <c r="A32" s="12" t="s">
        <v>72</v>
      </c>
      <c r="B32" s="12" t="s">
        <v>159</v>
      </c>
      <c r="C32" s="12">
        <v>1</v>
      </c>
      <c r="D32" s="12">
        <v>29.89</v>
      </c>
      <c r="E32" s="12">
        <v>1</v>
      </c>
      <c r="F32" s="12">
        <v>29.91</v>
      </c>
      <c r="G32" s="12">
        <v>0.01</v>
      </c>
      <c r="H32" s="12">
        <v>29.88</v>
      </c>
      <c r="I32" s="12">
        <v>0.01</v>
      </c>
      <c r="J32" s="12">
        <v>29.92</v>
      </c>
      <c r="K32" s="12">
        <v>0.01</v>
      </c>
      <c r="L32" s="12">
        <v>29.87</v>
      </c>
      <c r="O32" s="12">
        <v>0.01</v>
      </c>
      <c r="P32" s="12">
        <v>29.86</v>
      </c>
      <c r="S32" s="12">
        <v>0.01</v>
      </c>
      <c r="T32" s="12">
        <v>29.85</v>
      </c>
      <c r="W32" s="12">
        <v>0.01</v>
      </c>
      <c r="X32" s="12">
        <v>29.84</v>
      </c>
      <c r="AA32" s="12">
        <v>0.01</v>
      </c>
      <c r="AB32" s="12">
        <v>29.83</v>
      </c>
      <c r="AE32" s="12">
        <v>0.01</v>
      </c>
      <c r="AF32" s="12">
        <v>29.82</v>
      </c>
      <c r="AI32" s="12">
        <v>0.01</v>
      </c>
      <c r="AJ32" s="12">
        <v>29.81</v>
      </c>
    </row>
    <row r="33" spans="1:42" x14ac:dyDescent="0.25">
      <c r="A33" s="12" t="s">
        <v>73</v>
      </c>
      <c r="B33" s="12" t="s">
        <v>159</v>
      </c>
      <c r="C33" s="12">
        <v>1</v>
      </c>
      <c r="D33" s="12">
        <v>30.89</v>
      </c>
      <c r="E33" s="12">
        <v>1</v>
      </c>
      <c r="F33" s="12">
        <v>30.91</v>
      </c>
      <c r="G33" s="12">
        <v>0.01</v>
      </c>
      <c r="H33" s="12">
        <v>30.88</v>
      </c>
      <c r="I33" s="12">
        <v>0.01</v>
      </c>
      <c r="J33" s="12">
        <v>30.92</v>
      </c>
      <c r="K33" s="12">
        <v>0.01</v>
      </c>
      <c r="L33" s="12">
        <v>30.87</v>
      </c>
      <c r="M33" s="12">
        <v>0.01</v>
      </c>
      <c r="N33" s="12">
        <v>30.93</v>
      </c>
      <c r="O33" s="12">
        <v>0.01</v>
      </c>
      <c r="P33" s="12">
        <v>30.86</v>
      </c>
      <c r="Q33" s="12">
        <v>0.01</v>
      </c>
      <c r="R33" s="12">
        <v>30.94</v>
      </c>
      <c r="S33" s="12">
        <v>0.01</v>
      </c>
      <c r="T33" s="12">
        <v>30.85</v>
      </c>
      <c r="U33" s="12">
        <v>0.01</v>
      </c>
      <c r="V33" s="12">
        <v>30.95</v>
      </c>
      <c r="W33" s="12">
        <v>0.01</v>
      </c>
      <c r="X33" s="12">
        <v>30.84</v>
      </c>
      <c r="Y33" s="12">
        <v>0.01</v>
      </c>
      <c r="Z33" s="12">
        <v>30.96</v>
      </c>
      <c r="AC33" s="12">
        <v>0.01</v>
      </c>
      <c r="AD33" s="12">
        <v>30.97</v>
      </c>
      <c r="AG33" s="12">
        <v>0.01</v>
      </c>
      <c r="AH33" s="12">
        <v>30.98</v>
      </c>
      <c r="AK33" s="12">
        <v>0.01</v>
      </c>
      <c r="AL33" s="12">
        <v>30.99</v>
      </c>
      <c r="AO33" s="12">
        <v>0.01</v>
      </c>
      <c r="AP33" s="12">
        <v>31</v>
      </c>
    </row>
    <row r="34" spans="1:42" x14ac:dyDescent="0.25">
      <c r="A34" s="12" t="s">
        <v>74</v>
      </c>
      <c r="B34" s="12" t="s">
        <v>154</v>
      </c>
      <c r="C34" s="12">
        <v>1</v>
      </c>
      <c r="D34" s="12">
        <v>31.89</v>
      </c>
      <c r="E34" s="12">
        <v>1</v>
      </c>
      <c r="F34" s="12">
        <v>31.91</v>
      </c>
      <c r="G34" s="12">
        <v>0.01</v>
      </c>
      <c r="H34" s="12">
        <v>31.88</v>
      </c>
      <c r="I34" s="12">
        <v>0.01</v>
      </c>
      <c r="J34" s="12">
        <v>31.92</v>
      </c>
      <c r="K34" s="12">
        <v>0.01</v>
      </c>
      <c r="L34" s="12">
        <v>31.87</v>
      </c>
      <c r="M34" s="12">
        <v>0.01</v>
      </c>
      <c r="N34" s="12">
        <v>31.93</v>
      </c>
      <c r="O34" s="12">
        <v>0.01</v>
      </c>
      <c r="P34" s="12">
        <v>31.86</v>
      </c>
      <c r="Q34" s="12">
        <v>0.01</v>
      </c>
      <c r="R34" s="12">
        <v>31.94</v>
      </c>
      <c r="U34" s="12">
        <v>0.01</v>
      </c>
      <c r="V34" s="12">
        <v>31.95</v>
      </c>
    </row>
    <row r="35" spans="1:42" x14ac:dyDescent="0.25">
      <c r="A35" s="12" t="s">
        <v>75</v>
      </c>
      <c r="B35" s="12" t="s">
        <v>172</v>
      </c>
      <c r="C35" s="12">
        <v>1</v>
      </c>
      <c r="D35" s="12">
        <v>32.92</v>
      </c>
      <c r="E35" s="12">
        <v>1</v>
      </c>
      <c r="F35" s="12">
        <v>32.94</v>
      </c>
      <c r="G35" s="12">
        <v>0.01</v>
      </c>
      <c r="H35" s="12">
        <v>32.909999999999997</v>
      </c>
      <c r="K35" s="12">
        <v>0.01</v>
      </c>
      <c r="L35" s="12">
        <v>32.9</v>
      </c>
      <c r="O35" s="12">
        <v>0.01</v>
      </c>
      <c r="P35" s="12">
        <v>32.89</v>
      </c>
    </row>
    <row r="36" spans="1:42" x14ac:dyDescent="0.25">
      <c r="A36" s="12" t="s">
        <v>76</v>
      </c>
      <c r="B36" s="12" t="s">
        <v>175</v>
      </c>
      <c r="C36" s="12">
        <v>1</v>
      </c>
      <c r="D36" s="12">
        <v>33.92</v>
      </c>
      <c r="E36" s="12">
        <v>1</v>
      </c>
      <c r="F36" s="12">
        <v>33.94</v>
      </c>
      <c r="G36" s="12">
        <v>0.01</v>
      </c>
      <c r="H36" s="12">
        <v>33.909999999999997</v>
      </c>
      <c r="K36" s="12">
        <v>0.01</v>
      </c>
      <c r="L36" s="12">
        <v>33.9</v>
      </c>
      <c r="O36" s="12">
        <v>0.01</v>
      </c>
      <c r="P36" s="12">
        <v>33.89</v>
      </c>
      <c r="S36" s="12">
        <v>0.01</v>
      </c>
      <c r="T36" s="12">
        <v>33.880000000000003</v>
      </c>
      <c r="W36" s="12">
        <v>0.01</v>
      </c>
      <c r="X36" s="12">
        <v>33.869999999999997</v>
      </c>
      <c r="AA36" s="12">
        <v>0.01</v>
      </c>
      <c r="AB36" s="12">
        <v>33.86</v>
      </c>
      <c r="AE36" s="12">
        <v>0.01</v>
      </c>
      <c r="AF36" s="12">
        <v>33.85</v>
      </c>
      <c r="AI36" s="12">
        <v>0.01</v>
      </c>
      <c r="AJ36" s="12">
        <v>33.840000000000003</v>
      </c>
    </row>
    <row r="37" spans="1:42" x14ac:dyDescent="0.25">
      <c r="A37" s="12" t="s">
        <v>77</v>
      </c>
      <c r="B37" s="12" t="s">
        <v>154</v>
      </c>
      <c r="C37" s="12">
        <v>1</v>
      </c>
      <c r="D37" s="12">
        <v>34.89</v>
      </c>
      <c r="E37" s="12">
        <v>1</v>
      </c>
      <c r="F37" s="12">
        <v>34.909999999999997</v>
      </c>
      <c r="G37" s="12">
        <v>0.01</v>
      </c>
      <c r="H37" s="12">
        <v>34.880000000000003</v>
      </c>
      <c r="I37" s="12">
        <v>0.01</v>
      </c>
      <c r="J37" s="12">
        <v>34.92</v>
      </c>
      <c r="K37" s="12">
        <v>0.01</v>
      </c>
      <c r="L37" s="12">
        <v>34.869999999999997</v>
      </c>
      <c r="M37" s="12">
        <v>0.01</v>
      </c>
      <c r="N37" s="12">
        <v>34.93</v>
      </c>
      <c r="O37" s="12">
        <v>0.01</v>
      </c>
      <c r="P37" s="12">
        <v>34.86</v>
      </c>
      <c r="Q37" s="12">
        <v>0.01</v>
      </c>
      <c r="R37" s="12">
        <v>34.94</v>
      </c>
      <c r="S37" s="12">
        <v>0.01</v>
      </c>
      <c r="T37" s="12">
        <v>34.85</v>
      </c>
      <c r="U37" s="12">
        <v>0.01</v>
      </c>
      <c r="V37" s="12">
        <v>34.950000000000003</v>
      </c>
      <c r="W37" s="12">
        <v>0.01</v>
      </c>
      <c r="X37" s="12">
        <v>34.840000000000003</v>
      </c>
      <c r="AA37" s="12">
        <v>0.01</v>
      </c>
      <c r="AB37" s="12">
        <v>34.83</v>
      </c>
    </row>
    <row r="38" spans="1:42" x14ac:dyDescent="0.25">
      <c r="A38" s="12" t="s">
        <v>78</v>
      </c>
      <c r="B38" s="12" t="s">
        <v>158</v>
      </c>
      <c r="C38" s="12">
        <v>1</v>
      </c>
      <c r="D38" s="12">
        <v>35.89</v>
      </c>
      <c r="E38" s="12">
        <v>1</v>
      </c>
      <c r="F38" s="12">
        <v>35.909999999999997</v>
      </c>
      <c r="G38" s="12">
        <v>0.01</v>
      </c>
      <c r="H38" s="12">
        <v>35.880000000000003</v>
      </c>
      <c r="I38" s="12">
        <v>0.01</v>
      </c>
      <c r="J38" s="12">
        <v>35.92</v>
      </c>
      <c r="K38" s="12">
        <v>0.01</v>
      </c>
      <c r="L38" s="12">
        <v>35.869999999999997</v>
      </c>
      <c r="M38" s="12">
        <v>0.01</v>
      </c>
      <c r="N38" s="12">
        <v>35.93</v>
      </c>
      <c r="Q38" s="12">
        <v>0.01</v>
      </c>
      <c r="R38" s="12">
        <v>35.94</v>
      </c>
      <c r="U38" s="12">
        <v>0.01</v>
      </c>
      <c r="V38" s="12">
        <v>35.950000000000003</v>
      </c>
      <c r="Y38" s="12">
        <v>0.01</v>
      </c>
      <c r="Z38" s="12">
        <v>35.96</v>
      </c>
      <c r="AC38" s="12">
        <v>0.01</v>
      </c>
      <c r="AD38" s="12">
        <v>35.97</v>
      </c>
      <c r="AG38" s="12">
        <v>0.01</v>
      </c>
      <c r="AH38" s="12">
        <v>35.979999999999997</v>
      </c>
      <c r="AK38" s="12">
        <v>0.01</v>
      </c>
      <c r="AL38" s="12">
        <v>35.99</v>
      </c>
      <c r="AO38" s="12">
        <v>0.01</v>
      </c>
      <c r="AP38" s="12">
        <v>36</v>
      </c>
    </row>
    <row r="39" spans="1:42" x14ac:dyDescent="0.25">
      <c r="A39" s="12" t="s">
        <v>79</v>
      </c>
      <c r="B39" s="12" t="s">
        <v>158</v>
      </c>
      <c r="C39" s="12">
        <v>1</v>
      </c>
      <c r="D39" s="12">
        <v>36.89</v>
      </c>
      <c r="E39" s="12">
        <v>1</v>
      </c>
      <c r="F39" s="12">
        <v>36.909999999999997</v>
      </c>
      <c r="G39" s="12">
        <v>0.01</v>
      </c>
      <c r="H39" s="12">
        <v>36.880000000000003</v>
      </c>
      <c r="I39" s="12">
        <v>0.01</v>
      </c>
      <c r="J39" s="12">
        <v>36.92</v>
      </c>
      <c r="K39" s="12">
        <v>0.01</v>
      </c>
      <c r="L39" s="12">
        <v>36.869999999999997</v>
      </c>
      <c r="M39" s="12">
        <v>0.01</v>
      </c>
      <c r="N39" s="12">
        <v>36.93</v>
      </c>
      <c r="O39" s="12">
        <v>0.01</v>
      </c>
      <c r="P39" s="12">
        <v>36.86</v>
      </c>
      <c r="Q39" s="12">
        <v>0.01</v>
      </c>
      <c r="R39" s="12">
        <v>36.94</v>
      </c>
      <c r="U39" s="12">
        <v>0.01</v>
      </c>
      <c r="V39" s="12">
        <v>36.950000000000003</v>
      </c>
      <c r="Y39" s="12">
        <v>0.01</v>
      </c>
      <c r="Z39" s="12">
        <v>36.96</v>
      </c>
      <c r="AC39" s="12">
        <v>0.01</v>
      </c>
      <c r="AD39" s="12">
        <v>36.97</v>
      </c>
    </row>
    <row r="40" spans="1:42" x14ac:dyDescent="0.25">
      <c r="A40" s="12" t="s">
        <v>80</v>
      </c>
      <c r="B40" s="12" t="s">
        <v>158</v>
      </c>
      <c r="C40" s="12">
        <v>1</v>
      </c>
      <c r="D40" s="12">
        <v>37.89</v>
      </c>
      <c r="E40" s="12">
        <v>1</v>
      </c>
      <c r="F40" s="12">
        <v>37.909999999999997</v>
      </c>
      <c r="G40" s="12">
        <v>0.01</v>
      </c>
      <c r="H40" s="12">
        <v>37.880000000000003</v>
      </c>
      <c r="I40" s="12">
        <v>0.01</v>
      </c>
      <c r="J40" s="12">
        <v>37.92</v>
      </c>
      <c r="K40" s="12">
        <v>0.01</v>
      </c>
      <c r="L40" s="12">
        <v>37.869999999999997</v>
      </c>
      <c r="M40" s="12">
        <v>0.01</v>
      </c>
      <c r="N40" s="12">
        <v>37.93</v>
      </c>
      <c r="O40" s="12">
        <v>0.01</v>
      </c>
      <c r="P40" s="12">
        <v>37.86</v>
      </c>
      <c r="Q40" s="12">
        <v>0.01</v>
      </c>
      <c r="R40" s="12">
        <v>37.94</v>
      </c>
      <c r="S40" s="12">
        <v>0.01</v>
      </c>
      <c r="T40" s="12">
        <v>37.85</v>
      </c>
      <c r="U40" s="12">
        <v>0.01</v>
      </c>
      <c r="V40" s="12">
        <v>37.950000000000003</v>
      </c>
      <c r="W40" s="12">
        <v>0.01</v>
      </c>
      <c r="X40" s="12">
        <v>37.840000000000003</v>
      </c>
      <c r="Y40" s="12">
        <v>0.01</v>
      </c>
      <c r="Z40" s="12">
        <v>37.96</v>
      </c>
      <c r="AA40" s="12">
        <v>0.01</v>
      </c>
      <c r="AB40" s="12">
        <v>37.83</v>
      </c>
      <c r="AC40" s="12">
        <v>0.01</v>
      </c>
      <c r="AD40" s="12">
        <v>37.97</v>
      </c>
      <c r="AE40" s="12">
        <v>0.01</v>
      </c>
      <c r="AF40" s="12">
        <v>37.82</v>
      </c>
      <c r="AG40" s="12">
        <v>0.01</v>
      </c>
      <c r="AH40" s="12">
        <v>37.979999999999997</v>
      </c>
      <c r="AI40" s="12">
        <v>0.01</v>
      </c>
      <c r="AJ40" s="12">
        <v>37.81</v>
      </c>
      <c r="AK40" s="12">
        <v>0.01</v>
      </c>
      <c r="AL40" s="12">
        <v>37.99</v>
      </c>
      <c r="AO40" s="12">
        <v>0.01</v>
      </c>
      <c r="AP40" s="12">
        <v>38</v>
      </c>
    </row>
    <row r="41" spans="1:42" x14ac:dyDescent="0.25">
      <c r="A41" s="12" t="s">
        <v>81</v>
      </c>
      <c r="B41" s="12" t="s">
        <v>175</v>
      </c>
      <c r="C41" s="12">
        <v>1</v>
      </c>
      <c r="D41" s="12">
        <v>38.92</v>
      </c>
      <c r="E41" s="12">
        <v>1</v>
      </c>
      <c r="F41" s="12">
        <v>38.94</v>
      </c>
      <c r="I41" s="12">
        <v>0.01</v>
      </c>
      <c r="J41" s="12">
        <v>38.950000000000003</v>
      </c>
      <c r="M41" s="12">
        <v>0.01</v>
      </c>
      <c r="N41" s="12">
        <v>38.96</v>
      </c>
      <c r="Q41" s="12">
        <v>0.01</v>
      </c>
      <c r="R41" s="12">
        <v>38.97</v>
      </c>
      <c r="U41" s="12">
        <v>0.01</v>
      </c>
      <c r="V41" s="12">
        <v>38.979999999999997</v>
      </c>
      <c r="Y41" s="12">
        <v>0.01</v>
      </c>
      <c r="Z41" s="12">
        <v>38.99</v>
      </c>
      <c r="AC41" s="12">
        <v>0.01</v>
      </c>
      <c r="AD41" s="12">
        <v>39</v>
      </c>
      <c r="AG41" s="12">
        <v>0.01</v>
      </c>
      <c r="AH41" s="12">
        <v>39.01</v>
      </c>
    </row>
    <row r="42" spans="1:42" x14ac:dyDescent="0.25">
      <c r="A42" s="12" t="s">
        <v>82</v>
      </c>
      <c r="B42" s="12" t="s">
        <v>175</v>
      </c>
      <c r="C42" s="12">
        <v>1</v>
      </c>
      <c r="D42" s="12">
        <v>39.92</v>
      </c>
      <c r="E42" s="12">
        <v>1</v>
      </c>
      <c r="F42" s="12">
        <v>39.94</v>
      </c>
      <c r="G42" s="12">
        <v>0.01</v>
      </c>
      <c r="H42" s="12">
        <v>39.909999999999997</v>
      </c>
      <c r="I42" s="12">
        <v>0.01</v>
      </c>
      <c r="J42" s="12">
        <v>39.950000000000003</v>
      </c>
      <c r="K42" s="12">
        <v>0.01</v>
      </c>
      <c r="L42" s="12">
        <v>39.9</v>
      </c>
      <c r="M42" s="12">
        <v>0.01</v>
      </c>
      <c r="N42" s="12">
        <v>39.96</v>
      </c>
      <c r="O42" s="12">
        <v>0.01</v>
      </c>
      <c r="P42" s="12">
        <v>39.89</v>
      </c>
      <c r="S42" s="12">
        <v>0.01</v>
      </c>
      <c r="T42" s="12">
        <v>39.880000000000003</v>
      </c>
      <c r="W42" s="12">
        <v>0.01</v>
      </c>
      <c r="X42" s="12">
        <v>39.869999999999997</v>
      </c>
    </row>
    <row r="43" spans="1:42" x14ac:dyDescent="0.25">
      <c r="A43" s="12" t="s">
        <v>83</v>
      </c>
      <c r="B43" s="12" t="s">
        <v>175</v>
      </c>
      <c r="C43" s="12">
        <v>1</v>
      </c>
      <c r="D43" s="12">
        <v>40.92</v>
      </c>
      <c r="E43" s="12">
        <v>1</v>
      </c>
      <c r="F43" s="12">
        <v>40.94</v>
      </c>
      <c r="G43" s="12">
        <v>0.01</v>
      </c>
      <c r="H43" s="12">
        <v>40.909999999999997</v>
      </c>
      <c r="I43" s="12">
        <v>0.01</v>
      </c>
      <c r="J43" s="12">
        <v>40.950000000000003</v>
      </c>
      <c r="K43" s="12">
        <v>0.01</v>
      </c>
      <c r="L43" s="12">
        <v>40.9</v>
      </c>
      <c r="M43" s="12">
        <v>0.01</v>
      </c>
      <c r="N43" s="12">
        <v>40.96</v>
      </c>
      <c r="O43" s="12">
        <v>0.01</v>
      </c>
      <c r="P43" s="12">
        <v>40.89</v>
      </c>
      <c r="Q43" s="12">
        <v>0.01</v>
      </c>
      <c r="R43" s="12">
        <v>40.97</v>
      </c>
      <c r="U43" s="12">
        <v>0.01</v>
      </c>
      <c r="V43" s="12">
        <v>40.98</v>
      </c>
    </row>
    <row r="44" spans="1:42" x14ac:dyDescent="0.25">
      <c r="A44" s="12" t="s">
        <v>84</v>
      </c>
      <c r="B44" s="12" t="s">
        <v>157</v>
      </c>
      <c r="C44" s="12">
        <v>1</v>
      </c>
      <c r="D44" s="12">
        <v>41.89</v>
      </c>
      <c r="E44" s="12">
        <v>1</v>
      </c>
      <c r="F44" s="12">
        <v>41.91</v>
      </c>
      <c r="G44" s="12">
        <v>0.01</v>
      </c>
      <c r="H44" s="12">
        <v>41.88</v>
      </c>
      <c r="I44" s="12">
        <v>0.01</v>
      </c>
      <c r="J44" s="12">
        <v>41.92</v>
      </c>
      <c r="K44" s="12">
        <v>0.01</v>
      </c>
      <c r="L44" s="12">
        <v>41.87</v>
      </c>
      <c r="M44" s="12">
        <v>0.01</v>
      </c>
      <c r="N44" s="12">
        <v>41.93</v>
      </c>
      <c r="O44" s="12">
        <v>0.01</v>
      </c>
      <c r="P44" s="12">
        <v>41.86</v>
      </c>
      <c r="Q44" s="12">
        <v>0.01</v>
      </c>
      <c r="R44" s="12">
        <v>41.94</v>
      </c>
      <c r="S44" s="12">
        <v>0.01</v>
      </c>
      <c r="T44" s="12">
        <v>41.85</v>
      </c>
      <c r="U44" s="12">
        <v>0.01</v>
      </c>
      <c r="V44" s="12">
        <v>41.95</v>
      </c>
      <c r="W44" s="12">
        <v>0.01</v>
      </c>
      <c r="X44" s="12">
        <v>41.84</v>
      </c>
    </row>
    <row r="45" spans="1:42" x14ac:dyDescent="0.25">
      <c r="A45" s="12" t="s">
        <v>85</v>
      </c>
      <c r="B45" s="12" t="s">
        <v>157</v>
      </c>
      <c r="C45" s="12">
        <v>1</v>
      </c>
      <c r="D45" s="12">
        <v>42.89</v>
      </c>
      <c r="E45" s="12">
        <v>1</v>
      </c>
      <c r="F45" s="12">
        <v>42.91</v>
      </c>
      <c r="G45" s="12">
        <v>0.01</v>
      </c>
      <c r="H45" s="12">
        <v>42.88</v>
      </c>
      <c r="I45" s="12">
        <v>0.01</v>
      </c>
      <c r="J45" s="12">
        <v>42.92</v>
      </c>
      <c r="K45" s="12">
        <v>0.01</v>
      </c>
      <c r="L45" s="12">
        <v>42.87</v>
      </c>
      <c r="M45" s="12">
        <v>0.01</v>
      </c>
      <c r="N45" s="12">
        <v>42.93</v>
      </c>
      <c r="O45" s="12">
        <v>0.01</v>
      </c>
      <c r="P45" s="12">
        <v>42.86</v>
      </c>
      <c r="Q45" s="12">
        <v>0.01</v>
      </c>
      <c r="R45" s="12">
        <v>42.94</v>
      </c>
      <c r="S45" s="12">
        <v>0.01</v>
      </c>
      <c r="T45" s="12">
        <v>42.85</v>
      </c>
      <c r="U45" s="12">
        <v>0.01</v>
      </c>
      <c r="V45" s="12">
        <v>42.95</v>
      </c>
      <c r="W45" s="12">
        <v>0.01</v>
      </c>
      <c r="X45" s="12">
        <v>42.84</v>
      </c>
      <c r="Y45" s="12">
        <v>0.01</v>
      </c>
      <c r="Z45" s="12">
        <v>42.96</v>
      </c>
      <c r="AA45" s="12">
        <v>0.01</v>
      </c>
      <c r="AB45" s="12">
        <v>42.83</v>
      </c>
      <c r="AC45" s="12">
        <v>0.01</v>
      </c>
      <c r="AD45" s="12">
        <v>42.97</v>
      </c>
      <c r="AE45" s="12">
        <v>0.01</v>
      </c>
      <c r="AF45" s="12">
        <v>42.82</v>
      </c>
      <c r="AG45" s="12">
        <v>0.01</v>
      </c>
      <c r="AH45" s="12">
        <v>42.98</v>
      </c>
      <c r="AK45" s="12">
        <v>0.01</v>
      </c>
      <c r="AL45" s="12">
        <v>42.99</v>
      </c>
      <c r="AO45" s="12">
        <v>0.01</v>
      </c>
      <c r="AP45" s="12">
        <v>43</v>
      </c>
    </row>
    <row r="46" spans="1:42" x14ac:dyDescent="0.25">
      <c r="A46" s="12" t="s">
        <v>86</v>
      </c>
      <c r="B46" s="12" t="s">
        <v>175</v>
      </c>
      <c r="C46" s="12">
        <v>1</v>
      </c>
      <c r="D46" s="12">
        <v>43.92</v>
      </c>
      <c r="E46" s="12">
        <v>1</v>
      </c>
      <c r="F46" s="12">
        <v>43.94</v>
      </c>
      <c r="G46" s="12">
        <v>0.01</v>
      </c>
      <c r="H46" s="12">
        <v>43.91</v>
      </c>
      <c r="I46" s="12">
        <v>0.01</v>
      </c>
      <c r="J46" s="12">
        <v>43.95</v>
      </c>
      <c r="K46" s="12">
        <v>0.01</v>
      </c>
      <c r="L46" s="12">
        <v>43.9</v>
      </c>
      <c r="M46" s="12">
        <v>0.01</v>
      </c>
      <c r="N46" s="12">
        <v>43.96</v>
      </c>
      <c r="O46" s="12">
        <v>0.01</v>
      </c>
      <c r="P46" s="12">
        <v>43.89</v>
      </c>
      <c r="Q46" s="12">
        <v>0.01</v>
      </c>
      <c r="R46" s="12">
        <v>43.97</v>
      </c>
      <c r="S46" s="12">
        <v>0.01</v>
      </c>
      <c r="T46" s="12">
        <v>43.88</v>
      </c>
      <c r="U46" s="12">
        <v>0.01</v>
      </c>
      <c r="V46" s="12">
        <v>43.98</v>
      </c>
      <c r="W46" s="12">
        <v>0.01</v>
      </c>
      <c r="X46" s="12">
        <v>43.87</v>
      </c>
      <c r="Y46" s="12">
        <v>0.01</v>
      </c>
      <c r="Z46" s="12">
        <v>43.99</v>
      </c>
      <c r="AA46" s="12">
        <v>0.01</v>
      </c>
      <c r="AB46" s="12">
        <v>43.86</v>
      </c>
      <c r="AC46" s="12">
        <v>0.01</v>
      </c>
      <c r="AD46" s="12">
        <v>44</v>
      </c>
      <c r="AE46" s="12">
        <v>0.01</v>
      </c>
      <c r="AF46" s="12">
        <v>43.85</v>
      </c>
      <c r="AG46" s="12">
        <v>0.01</v>
      </c>
      <c r="AH46" s="12">
        <v>44.01</v>
      </c>
      <c r="AI46" s="12">
        <v>0.01</v>
      </c>
      <c r="AJ46" s="12">
        <v>43.84</v>
      </c>
      <c r="AK46" s="12">
        <v>0.01</v>
      </c>
      <c r="AL46" s="12">
        <v>44.02</v>
      </c>
      <c r="AM46" s="12">
        <v>0.01</v>
      </c>
      <c r="AN46" s="12">
        <v>43.83</v>
      </c>
    </row>
    <row r="47" spans="1:42" x14ac:dyDescent="0.25">
      <c r="A47" s="12" t="s">
        <v>87</v>
      </c>
      <c r="B47" s="12" t="s">
        <v>157</v>
      </c>
      <c r="C47" s="12">
        <v>1</v>
      </c>
      <c r="D47" s="12">
        <v>44.89</v>
      </c>
      <c r="E47" s="12">
        <v>1</v>
      </c>
      <c r="F47" s="12">
        <v>44.91</v>
      </c>
      <c r="G47" s="12">
        <v>0.01</v>
      </c>
      <c r="H47" s="12">
        <v>44.88</v>
      </c>
      <c r="I47" s="12">
        <v>0.01</v>
      </c>
      <c r="J47" s="12">
        <v>44.92</v>
      </c>
      <c r="K47" s="12">
        <v>0.01</v>
      </c>
      <c r="L47" s="12">
        <v>44.87</v>
      </c>
      <c r="M47" s="12">
        <v>0.01</v>
      </c>
      <c r="N47" s="12">
        <v>44.93</v>
      </c>
      <c r="O47" s="12">
        <v>0.01</v>
      </c>
      <c r="P47" s="12">
        <v>44.86</v>
      </c>
      <c r="Q47" s="12">
        <v>0.01</v>
      </c>
      <c r="R47" s="12">
        <v>44.94</v>
      </c>
      <c r="S47" s="12">
        <v>0.01</v>
      </c>
      <c r="T47" s="12">
        <v>44.85</v>
      </c>
      <c r="U47" s="12">
        <v>0.01</v>
      </c>
      <c r="V47" s="12">
        <v>44.95</v>
      </c>
      <c r="W47" s="12">
        <v>0.01</v>
      </c>
      <c r="X47" s="12">
        <v>44.84</v>
      </c>
      <c r="Y47" s="12">
        <v>0.01</v>
      </c>
      <c r="Z47" s="12">
        <v>44.96</v>
      </c>
      <c r="AA47" s="12">
        <v>0.01</v>
      </c>
      <c r="AB47" s="12">
        <v>44.83</v>
      </c>
      <c r="AC47" s="12">
        <v>0.01</v>
      </c>
      <c r="AD47" s="12">
        <v>44.97</v>
      </c>
      <c r="AE47" s="12">
        <v>0.01</v>
      </c>
      <c r="AF47" s="12">
        <v>44.82</v>
      </c>
      <c r="AI47" s="12">
        <v>0.01</v>
      </c>
      <c r="AJ47" s="12">
        <v>44.81</v>
      </c>
      <c r="AM47" s="12">
        <v>0.01</v>
      </c>
      <c r="AN47" s="12">
        <v>44.8</v>
      </c>
    </row>
    <row r="48" spans="1:42" x14ac:dyDescent="0.25">
      <c r="A48" s="12" t="s">
        <v>88</v>
      </c>
      <c r="B48" s="12" t="s">
        <v>168</v>
      </c>
      <c r="C48" s="12">
        <v>1</v>
      </c>
      <c r="D48" s="12">
        <v>45.92</v>
      </c>
      <c r="E48" s="12">
        <v>1</v>
      </c>
      <c r="F48" s="12">
        <v>45.94</v>
      </c>
      <c r="G48" s="12">
        <v>0.01</v>
      </c>
      <c r="H48" s="12">
        <v>45.91</v>
      </c>
      <c r="I48" s="12">
        <v>0.01</v>
      </c>
      <c r="J48" s="12">
        <v>45.95</v>
      </c>
      <c r="K48" s="12">
        <v>0.01</v>
      </c>
      <c r="L48" s="12">
        <v>45.9</v>
      </c>
      <c r="M48" s="12">
        <v>0.01</v>
      </c>
      <c r="N48" s="12">
        <v>45.96</v>
      </c>
      <c r="O48" s="12">
        <v>0.01</v>
      </c>
      <c r="P48" s="12">
        <v>45.89</v>
      </c>
      <c r="Q48" s="12">
        <v>0.01</v>
      </c>
      <c r="R48" s="12">
        <v>45.97</v>
      </c>
      <c r="S48" s="12">
        <v>0.01</v>
      </c>
      <c r="T48" s="12">
        <v>45.88</v>
      </c>
      <c r="U48" s="12">
        <v>0.01</v>
      </c>
      <c r="V48" s="12">
        <v>45.98</v>
      </c>
      <c r="W48" s="12">
        <v>0.01</v>
      </c>
      <c r="X48" s="12">
        <v>45.87</v>
      </c>
      <c r="Y48" s="12">
        <v>0.01</v>
      </c>
      <c r="Z48" s="12">
        <v>45.99</v>
      </c>
      <c r="AA48" s="12">
        <v>0.01</v>
      </c>
      <c r="AB48" s="12">
        <v>45.86</v>
      </c>
      <c r="AC48" s="12">
        <v>0.01</v>
      </c>
      <c r="AD48" s="12">
        <v>46</v>
      </c>
      <c r="AE48" s="12">
        <v>0.01</v>
      </c>
      <c r="AF48" s="12">
        <v>45.85</v>
      </c>
      <c r="AG48" s="12">
        <v>0.01</v>
      </c>
      <c r="AH48" s="12">
        <v>46.01</v>
      </c>
      <c r="AI48" s="12">
        <v>0.01</v>
      </c>
      <c r="AJ48" s="12">
        <v>45.84</v>
      </c>
      <c r="AK48" s="12">
        <v>0.01</v>
      </c>
      <c r="AL48" s="12">
        <v>46.02</v>
      </c>
    </row>
    <row r="49" spans="1:42" x14ac:dyDescent="0.25">
      <c r="A49" s="12" t="s">
        <v>89</v>
      </c>
      <c r="B49" s="12" t="s">
        <v>168</v>
      </c>
      <c r="C49" s="12">
        <v>1</v>
      </c>
      <c r="D49" s="12">
        <v>46.92</v>
      </c>
      <c r="E49" s="12">
        <v>1</v>
      </c>
      <c r="F49" s="12">
        <v>46.94</v>
      </c>
      <c r="G49" s="12">
        <v>0.01</v>
      </c>
      <c r="H49" s="12">
        <v>46.91</v>
      </c>
      <c r="I49" s="12">
        <v>0.01</v>
      </c>
      <c r="J49" s="12">
        <v>46.95</v>
      </c>
      <c r="K49" s="12">
        <v>0.01</v>
      </c>
      <c r="L49" s="12">
        <v>46.9</v>
      </c>
      <c r="M49" s="12">
        <v>0.01</v>
      </c>
      <c r="N49" s="12">
        <v>46.96</v>
      </c>
      <c r="O49" s="12">
        <v>0.01</v>
      </c>
      <c r="P49" s="12">
        <v>46.89</v>
      </c>
      <c r="Q49" s="12">
        <v>0.01</v>
      </c>
      <c r="R49" s="12">
        <v>46.97</v>
      </c>
      <c r="S49" s="12">
        <v>0.01</v>
      </c>
      <c r="T49" s="12">
        <v>46.88</v>
      </c>
      <c r="U49" s="12">
        <v>0.01</v>
      </c>
      <c r="V49" s="12">
        <v>46.98</v>
      </c>
      <c r="W49" s="12">
        <v>0.01</v>
      </c>
      <c r="X49" s="12">
        <v>46.87</v>
      </c>
      <c r="Y49" s="12">
        <v>0.01</v>
      </c>
      <c r="Z49" s="12">
        <v>46.99</v>
      </c>
      <c r="AA49" s="12">
        <v>0.01</v>
      </c>
      <c r="AB49" s="12">
        <v>46.86</v>
      </c>
      <c r="AC49" s="12">
        <v>0.01</v>
      </c>
      <c r="AD49" s="12">
        <v>47</v>
      </c>
      <c r="AG49" s="12">
        <v>0.01</v>
      </c>
      <c r="AH49" s="12">
        <v>47.01</v>
      </c>
      <c r="AK49" s="12">
        <v>0.01</v>
      </c>
      <c r="AL49" s="12">
        <v>47.02</v>
      </c>
    </row>
    <row r="50" spans="1:42" x14ac:dyDescent="0.25">
      <c r="A50" s="12" t="s">
        <v>90</v>
      </c>
      <c r="B50" s="12" t="s">
        <v>168</v>
      </c>
      <c r="C50" s="12">
        <v>1</v>
      </c>
      <c r="D50" s="12">
        <v>47.92</v>
      </c>
      <c r="E50" s="12">
        <v>1</v>
      </c>
      <c r="F50" s="12">
        <v>47.94</v>
      </c>
      <c r="G50" s="12">
        <v>0.01</v>
      </c>
      <c r="H50" s="12">
        <v>47.91</v>
      </c>
      <c r="I50" s="12">
        <v>0.01</v>
      </c>
      <c r="J50" s="12">
        <v>47.95</v>
      </c>
      <c r="K50" s="12">
        <v>0.01</v>
      </c>
      <c r="L50" s="12">
        <v>47.9</v>
      </c>
      <c r="M50" s="12">
        <v>0.01</v>
      </c>
      <c r="N50" s="12">
        <v>47.96</v>
      </c>
      <c r="O50" s="12">
        <v>0.01</v>
      </c>
      <c r="P50" s="12">
        <v>47.89</v>
      </c>
      <c r="Q50" s="12">
        <v>0.01</v>
      </c>
      <c r="R50" s="12">
        <v>47.97</v>
      </c>
      <c r="S50" s="12">
        <v>0.01</v>
      </c>
      <c r="T50" s="12">
        <v>47.88</v>
      </c>
      <c r="U50" s="12">
        <v>0.01</v>
      </c>
      <c r="V50" s="12">
        <v>47.98</v>
      </c>
      <c r="Y50" s="12">
        <v>0.01</v>
      </c>
      <c r="Z50" s="12">
        <v>47.99</v>
      </c>
      <c r="AC50" s="12">
        <v>0.01</v>
      </c>
      <c r="AD50" s="12">
        <v>48</v>
      </c>
      <c r="AG50" s="12">
        <v>0.01</v>
      </c>
      <c r="AH50" s="12">
        <v>48.01</v>
      </c>
      <c r="AK50" s="12">
        <v>0.01</v>
      </c>
      <c r="AL50" s="12">
        <v>48.02</v>
      </c>
      <c r="AO50" s="12">
        <v>0.01</v>
      </c>
      <c r="AP50" s="12">
        <v>48.03</v>
      </c>
    </row>
    <row r="51" spans="1:42" x14ac:dyDescent="0.25">
      <c r="A51" s="12" t="s">
        <v>91</v>
      </c>
      <c r="B51" s="12" t="s">
        <v>168</v>
      </c>
      <c r="C51" s="12">
        <v>1</v>
      </c>
      <c r="D51" s="12">
        <v>48.92</v>
      </c>
      <c r="E51" s="12">
        <v>1</v>
      </c>
      <c r="F51" s="12">
        <v>48.94</v>
      </c>
      <c r="G51" s="12">
        <v>0.01</v>
      </c>
      <c r="H51" s="12">
        <v>48.91</v>
      </c>
      <c r="I51" s="12">
        <v>0.01</v>
      </c>
      <c r="J51" s="12">
        <v>48.95</v>
      </c>
      <c r="K51" s="12">
        <v>0.01</v>
      </c>
      <c r="L51" s="12">
        <v>48.9</v>
      </c>
      <c r="M51" s="12">
        <v>0.01</v>
      </c>
      <c r="N51" s="12">
        <v>48.96</v>
      </c>
      <c r="O51" s="12">
        <v>0.01</v>
      </c>
      <c r="P51" s="12">
        <v>48.89</v>
      </c>
      <c r="S51" s="12">
        <v>0.01</v>
      </c>
      <c r="T51" s="12">
        <v>48.88</v>
      </c>
    </row>
    <row r="52" spans="1:42" x14ac:dyDescent="0.25">
      <c r="A52" s="12" t="s">
        <v>92</v>
      </c>
      <c r="B52" s="12" t="s">
        <v>168</v>
      </c>
      <c r="C52" s="12">
        <v>1</v>
      </c>
      <c r="D52" s="12">
        <v>49.92</v>
      </c>
      <c r="E52" s="12">
        <v>1</v>
      </c>
      <c r="F52" s="12">
        <v>49.94</v>
      </c>
      <c r="G52" s="12">
        <v>0.01</v>
      </c>
      <c r="H52" s="12">
        <v>49.91</v>
      </c>
      <c r="I52" s="12">
        <v>0.01</v>
      </c>
      <c r="J52" s="12">
        <v>49.95</v>
      </c>
      <c r="K52" s="12">
        <v>0.01</v>
      </c>
      <c r="L52" s="12">
        <v>49.9</v>
      </c>
      <c r="M52" s="12">
        <v>0.01</v>
      </c>
      <c r="N52" s="12">
        <v>49.96</v>
      </c>
      <c r="O52" s="12">
        <v>0.01</v>
      </c>
      <c r="P52" s="12">
        <v>49.89</v>
      </c>
      <c r="S52" s="12">
        <v>0.01</v>
      </c>
      <c r="T52" s="12">
        <v>49.88</v>
      </c>
      <c r="W52" s="12">
        <v>0.01</v>
      </c>
      <c r="X52" s="12">
        <v>49.87</v>
      </c>
      <c r="AA52" s="12">
        <v>0.01</v>
      </c>
      <c r="AB52" s="12">
        <v>49.86</v>
      </c>
    </row>
    <row r="53" spans="1:42" x14ac:dyDescent="0.25">
      <c r="A53" s="12" t="s">
        <v>93</v>
      </c>
      <c r="B53" s="12" t="s">
        <v>168</v>
      </c>
      <c r="C53" s="12">
        <v>1</v>
      </c>
      <c r="D53" s="12">
        <v>50.92</v>
      </c>
      <c r="E53" s="12">
        <v>1</v>
      </c>
      <c r="F53" s="12">
        <v>50.94</v>
      </c>
      <c r="G53" s="12">
        <v>0.01</v>
      </c>
      <c r="H53" s="12">
        <v>50.91</v>
      </c>
      <c r="I53" s="12">
        <v>0.01</v>
      </c>
      <c r="J53" s="12">
        <v>50.95</v>
      </c>
      <c r="K53" s="12">
        <v>0.01</v>
      </c>
      <c r="L53" s="12">
        <v>50.9</v>
      </c>
      <c r="M53" s="12">
        <v>0.01</v>
      </c>
      <c r="N53" s="12">
        <v>50.96</v>
      </c>
      <c r="O53" s="12">
        <v>0.01</v>
      </c>
      <c r="P53" s="12">
        <v>50.89</v>
      </c>
      <c r="Q53" s="12">
        <v>0.01</v>
      </c>
      <c r="R53" s="12">
        <v>50.97</v>
      </c>
      <c r="U53" s="12">
        <v>0.01</v>
      </c>
      <c r="V53" s="12">
        <v>50.98</v>
      </c>
      <c r="Y53" s="12">
        <v>0.01</v>
      </c>
      <c r="Z53" s="12">
        <v>50.99</v>
      </c>
    </row>
    <row r="54" spans="1:42" x14ac:dyDescent="0.25">
      <c r="A54" s="12" t="s">
        <v>94</v>
      </c>
      <c r="B54" s="12" t="s">
        <v>151</v>
      </c>
      <c r="C54" s="12">
        <v>1</v>
      </c>
      <c r="D54" s="12">
        <v>51.89</v>
      </c>
      <c r="E54" s="12">
        <v>1</v>
      </c>
      <c r="F54" s="12">
        <v>51.91</v>
      </c>
      <c r="G54" s="12">
        <v>0.01</v>
      </c>
      <c r="H54" s="12">
        <v>51.88</v>
      </c>
      <c r="I54" s="12">
        <v>0.01</v>
      </c>
      <c r="J54" s="12">
        <v>51.92</v>
      </c>
      <c r="K54" s="12">
        <v>0.01</v>
      </c>
      <c r="L54" s="12">
        <v>51.87</v>
      </c>
      <c r="M54" s="12">
        <v>0.01</v>
      </c>
      <c r="N54" s="12">
        <v>51.93</v>
      </c>
      <c r="O54" s="12">
        <v>0.01</v>
      </c>
      <c r="P54" s="12">
        <v>51.86</v>
      </c>
      <c r="Q54" s="12">
        <v>0.01</v>
      </c>
      <c r="R54" s="12">
        <v>51.94</v>
      </c>
      <c r="S54" s="12">
        <v>0.01</v>
      </c>
      <c r="T54" s="12">
        <v>51.85</v>
      </c>
      <c r="U54" s="12">
        <v>0.01</v>
      </c>
      <c r="V54" s="12">
        <v>51.95</v>
      </c>
      <c r="W54" s="12">
        <v>0.01</v>
      </c>
      <c r="X54" s="12">
        <v>51.84</v>
      </c>
      <c r="AA54" s="12">
        <v>0.01</v>
      </c>
      <c r="AB54" s="12">
        <v>51.83</v>
      </c>
    </row>
    <row r="55" spans="1:42" x14ac:dyDescent="0.25">
      <c r="A55" s="12" t="s">
        <v>95</v>
      </c>
      <c r="B55" s="12" t="s">
        <v>168</v>
      </c>
      <c r="C55" s="12">
        <v>1</v>
      </c>
      <c r="D55" s="12">
        <v>52.92</v>
      </c>
      <c r="E55" s="12">
        <v>1</v>
      </c>
      <c r="F55" s="12">
        <v>52.94</v>
      </c>
      <c r="G55" s="12">
        <v>0.01</v>
      </c>
      <c r="H55" s="12">
        <v>52.91</v>
      </c>
      <c r="I55" s="12">
        <v>0.01</v>
      </c>
      <c r="J55" s="12">
        <v>52.95</v>
      </c>
      <c r="K55" s="12">
        <v>0.01</v>
      </c>
      <c r="L55" s="12">
        <v>52.9</v>
      </c>
      <c r="M55" s="12">
        <v>0.01</v>
      </c>
      <c r="N55" s="12">
        <v>52.96</v>
      </c>
      <c r="O55" s="12">
        <v>0.01</v>
      </c>
      <c r="P55" s="12">
        <v>52.89</v>
      </c>
      <c r="Q55" s="12">
        <v>0.01</v>
      </c>
      <c r="R55" s="12">
        <v>52.97</v>
      </c>
      <c r="U55" s="12">
        <v>0.01</v>
      </c>
      <c r="V55" s="12">
        <v>52.98</v>
      </c>
      <c r="Y55" s="12">
        <v>0.01</v>
      </c>
      <c r="Z55" s="12">
        <v>52.99</v>
      </c>
      <c r="AC55" s="12">
        <v>0.01</v>
      </c>
      <c r="AD55" s="12">
        <v>53</v>
      </c>
    </row>
    <row r="56" spans="1:42" x14ac:dyDescent="0.25">
      <c r="A56" s="12" t="s">
        <v>96</v>
      </c>
      <c r="B56" s="12" t="s">
        <v>164</v>
      </c>
      <c r="C56" s="12">
        <v>1</v>
      </c>
      <c r="D56" s="12">
        <v>53.89</v>
      </c>
      <c r="E56" s="12">
        <v>1</v>
      </c>
      <c r="F56" s="12">
        <v>53.91</v>
      </c>
      <c r="I56" s="12">
        <v>0.01</v>
      </c>
      <c r="J56" s="12">
        <v>53.92</v>
      </c>
      <c r="M56" s="12">
        <v>0.01</v>
      </c>
      <c r="N56" s="12">
        <v>53.93</v>
      </c>
      <c r="Q56" s="12">
        <v>0.01</v>
      </c>
      <c r="R56" s="12">
        <v>53.94</v>
      </c>
      <c r="U56" s="12">
        <v>0.01</v>
      </c>
      <c r="V56" s="12">
        <v>53.95</v>
      </c>
      <c r="Y56" s="12">
        <v>0.01</v>
      </c>
      <c r="Z56" s="12">
        <v>53.96</v>
      </c>
      <c r="AC56" s="12">
        <v>0.01</v>
      </c>
      <c r="AD56" s="12">
        <v>53.97</v>
      </c>
      <c r="AG56" s="12">
        <v>0.01</v>
      </c>
      <c r="AH56" s="12">
        <v>53.98</v>
      </c>
      <c r="AK56" s="12">
        <v>0.01</v>
      </c>
      <c r="AL56" s="12">
        <v>53.99</v>
      </c>
      <c r="AO56" s="12">
        <v>0.01</v>
      </c>
      <c r="AP56" s="12">
        <v>54</v>
      </c>
    </row>
    <row r="57" spans="1:42" x14ac:dyDescent="0.25">
      <c r="A57" s="12" t="s">
        <v>97</v>
      </c>
      <c r="B57" s="12" t="s">
        <v>164</v>
      </c>
      <c r="C57" s="12">
        <v>1</v>
      </c>
      <c r="D57" s="12">
        <v>54.89</v>
      </c>
      <c r="E57" s="12">
        <v>1</v>
      </c>
      <c r="F57" s="12">
        <v>54.91</v>
      </c>
      <c r="G57" s="12">
        <v>0.01</v>
      </c>
      <c r="H57" s="12">
        <v>54.88</v>
      </c>
      <c r="I57" s="12">
        <v>0.01</v>
      </c>
      <c r="J57" s="12">
        <v>54.92</v>
      </c>
      <c r="K57" s="12">
        <v>0.01</v>
      </c>
      <c r="L57" s="12">
        <v>54.87</v>
      </c>
      <c r="M57" s="12">
        <v>0.01</v>
      </c>
      <c r="N57" s="12">
        <v>54.93</v>
      </c>
      <c r="O57" s="12">
        <v>0.01</v>
      </c>
      <c r="P57" s="12">
        <v>54.86</v>
      </c>
      <c r="Q57" s="12">
        <v>0.01</v>
      </c>
      <c r="R57" s="12">
        <v>54.94</v>
      </c>
      <c r="S57" s="12">
        <v>0.01</v>
      </c>
      <c r="T57" s="12">
        <v>54.85</v>
      </c>
      <c r="W57" s="12">
        <v>0.01</v>
      </c>
      <c r="X57" s="12">
        <v>54.84</v>
      </c>
      <c r="AA57" s="12">
        <v>0.01</v>
      </c>
      <c r="AB57" s="12">
        <v>54.83</v>
      </c>
      <c r="AE57" s="12">
        <v>0.01</v>
      </c>
      <c r="AF57" s="12">
        <v>54.82</v>
      </c>
      <c r="AI57" s="12">
        <v>0.01</v>
      </c>
      <c r="AJ57" s="12">
        <v>54.81</v>
      </c>
      <c r="AM57" s="12">
        <v>0.01</v>
      </c>
      <c r="AN57" s="12">
        <v>54.8</v>
      </c>
    </row>
    <row r="58" spans="1:42" x14ac:dyDescent="0.25">
      <c r="A58" s="12" t="s">
        <v>98</v>
      </c>
      <c r="B58" s="12" t="s">
        <v>164</v>
      </c>
      <c r="C58" s="12">
        <v>1</v>
      </c>
      <c r="D58" s="12">
        <v>55.89</v>
      </c>
      <c r="E58" s="12">
        <v>1</v>
      </c>
      <c r="F58" s="12">
        <v>55.91</v>
      </c>
      <c r="G58" s="12">
        <v>0.01</v>
      </c>
      <c r="H58" s="12">
        <v>55.88</v>
      </c>
      <c r="I58" s="12">
        <v>0.01</v>
      </c>
      <c r="J58" s="12">
        <v>55.92</v>
      </c>
      <c r="K58" s="12">
        <v>0.01</v>
      </c>
      <c r="L58" s="12">
        <v>55.87</v>
      </c>
      <c r="M58" s="12">
        <v>0.01</v>
      </c>
      <c r="N58" s="12">
        <v>55.93</v>
      </c>
      <c r="O58" s="12">
        <v>0.01</v>
      </c>
      <c r="P58" s="12">
        <v>55.86</v>
      </c>
      <c r="Q58" s="12">
        <v>0.01</v>
      </c>
      <c r="R58" s="12">
        <v>55.94</v>
      </c>
      <c r="U58" s="12">
        <v>0.01</v>
      </c>
      <c r="V58" s="12">
        <v>55.95</v>
      </c>
      <c r="Y58" s="12">
        <v>0.01</v>
      </c>
      <c r="Z58" s="12">
        <v>55.96</v>
      </c>
      <c r="AC58" s="12">
        <v>0.01</v>
      </c>
      <c r="AD58" s="12">
        <v>55.97</v>
      </c>
    </row>
    <row r="59" spans="1:42" x14ac:dyDescent="0.25">
      <c r="A59" s="12" t="s">
        <v>99</v>
      </c>
      <c r="B59" s="12" t="s">
        <v>170</v>
      </c>
      <c r="C59" s="12">
        <v>1</v>
      </c>
      <c r="D59" s="12">
        <v>56.92</v>
      </c>
      <c r="E59" s="12">
        <v>1</v>
      </c>
      <c r="F59" s="12">
        <v>56.94</v>
      </c>
      <c r="G59" s="12">
        <v>0.01</v>
      </c>
      <c r="H59" s="12">
        <v>56.91</v>
      </c>
      <c r="I59" s="12">
        <v>0.01</v>
      </c>
      <c r="J59" s="12">
        <v>56.95</v>
      </c>
      <c r="K59" s="12">
        <v>0.01</v>
      </c>
      <c r="L59" s="12">
        <v>56.9</v>
      </c>
      <c r="M59" s="12">
        <v>0.01</v>
      </c>
      <c r="N59" s="12">
        <v>56.96</v>
      </c>
      <c r="O59" s="12">
        <v>0.01</v>
      </c>
      <c r="P59" s="12">
        <v>56.89</v>
      </c>
      <c r="Q59" s="12">
        <v>0.01</v>
      </c>
      <c r="R59" s="12">
        <v>56.97</v>
      </c>
      <c r="S59" s="12">
        <v>0.01</v>
      </c>
      <c r="T59" s="12">
        <v>56.88</v>
      </c>
      <c r="U59" s="12">
        <v>0.01</v>
      </c>
      <c r="V59" s="12">
        <v>56.98</v>
      </c>
      <c r="W59" s="12">
        <v>0.01</v>
      </c>
      <c r="X59" s="12">
        <v>56.87</v>
      </c>
      <c r="AA59" s="12">
        <v>0.01</v>
      </c>
      <c r="AB59" s="12">
        <v>56.86</v>
      </c>
      <c r="AE59" s="12">
        <v>0.01</v>
      </c>
      <c r="AF59" s="12">
        <v>56.85</v>
      </c>
      <c r="AI59" s="12">
        <v>0.01</v>
      </c>
      <c r="AJ59" s="12">
        <v>56.84</v>
      </c>
    </row>
    <row r="60" spans="1:42" x14ac:dyDescent="0.25">
      <c r="A60" s="12" t="s">
        <v>100</v>
      </c>
      <c r="B60" s="12" t="s">
        <v>170</v>
      </c>
      <c r="C60" s="12">
        <v>1</v>
      </c>
      <c r="D60" s="12">
        <v>57.92</v>
      </c>
      <c r="E60" s="12">
        <v>1</v>
      </c>
      <c r="F60" s="12">
        <v>57.94</v>
      </c>
      <c r="G60" s="12">
        <v>0.01</v>
      </c>
      <c r="H60" s="12">
        <v>57.91</v>
      </c>
      <c r="I60" s="12">
        <v>0.01</v>
      </c>
      <c r="J60" s="12">
        <v>57.95</v>
      </c>
      <c r="K60" s="12">
        <v>0.01</v>
      </c>
      <c r="L60" s="12">
        <v>57.9</v>
      </c>
      <c r="M60" s="12">
        <v>0.01</v>
      </c>
      <c r="N60" s="12">
        <v>57.96</v>
      </c>
      <c r="O60" s="12">
        <v>0.01</v>
      </c>
      <c r="P60" s="12">
        <v>57.89</v>
      </c>
      <c r="Q60" s="12">
        <v>0.01</v>
      </c>
      <c r="R60" s="12">
        <v>57.97</v>
      </c>
      <c r="S60" s="12">
        <v>0.01</v>
      </c>
      <c r="T60" s="12">
        <v>57.88</v>
      </c>
      <c r="U60" s="12">
        <v>0.01</v>
      </c>
      <c r="V60" s="12">
        <v>57.98</v>
      </c>
      <c r="W60" s="12">
        <v>0.01</v>
      </c>
      <c r="X60" s="12">
        <v>57.87</v>
      </c>
      <c r="AA60" s="12">
        <v>0.01</v>
      </c>
      <c r="AB60" s="12">
        <v>57.86</v>
      </c>
    </row>
    <row r="61" spans="1:42" x14ac:dyDescent="0.25">
      <c r="A61" s="12" t="s">
        <v>101</v>
      </c>
      <c r="B61" s="12" t="s">
        <v>170</v>
      </c>
      <c r="C61" s="12">
        <v>1</v>
      </c>
      <c r="D61" s="12">
        <v>58.92</v>
      </c>
      <c r="E61" s="12">
        <v>1</v>
      </c>
      <c r="F61" s="12">
        <v>58.94</v>
      </c>
      <c r="G61" s="12">
        <v>0.01</v>
      </c>
      <c r="H61" s="12">
        <v>58.91</v>
      </c>
      <c r="K61" s="12">
        <v>0.01</v>
      </c>
      <c r="L61" s="12">
        <v>58.9</v>
      </c>
      <c r="O61" s="12">
        <v>0.01</v>
      </c>
      <c r="P61" s="12">
        <v>58.89</v>
      </c>
      <c r="S61" s="12">
        <v>0.01</v>
      </c>
      <c r="T61" s="12">
        <v>58.88</v>
      </c>
      <c r="W61" s="12">
        <v>0.01</v>
      </c>
      <c r="X61" s="12">
        <v>58.87</v>
      </c>
    </row>
    <row r="62" spans="1:42" x14ac:dyDescent="0.25">
      <c r="A62" s="12" t="s">
        <v>102</v>
      </c>
      <c r="B62" s="12" t="s">
        <v>170</v>
      </c>
      <c r="C62" s="12">
        <v>1</v>
      </c>
      <c r="D62" s="12">
        <v>59.92</v>
      </c>
      <c r="E62" s="12">
        <v>1</v>
      </c>
      <c r="F62" s="12">
        <v>59.94</v>
      </c>
      <c r="G62" s="12">
        <v>0.01</v>
      </c>
      <c r="H62" s="12">
        <v>59.91</v>
      </c>
    </row>
    <row r="63" spans="1:42" x14ac:dyDescent="0.25">
      <c r="A63" s="12" t="s">
        <v>103</v>
      </c>
      <c r="B63" s="12" t="s">
        <v>170</v>
      </c>
      <c r="C63" s="12">
        <v>1</v>
      </c>
      <c r="D63" s="12">
        <v>60.92</v>
      </c>
      <c r="E63" s="12">
        <v>1</v>
      </c>
      <c r="F63" s="12">
        <v>60.94</v>
      </c>
      <c r="I63" s="12">
        <v>0.01</v>
      </c>
      <c r="J63" s="12">
        <v>60.95</v>
      </c>
      <c r="M63" s="12">
        <v>0.01</v>
      </c>
      <c r="N63" s="12">
        <v>60.96</v>
      </c>
      <c r="Q63" s="12">
        <v>0.01</v>
      </c>
      <c r="R63" s="12">
        <v>60.97</v>
      </c>
      <c r="U63" s="12">
        <v>0.01</v>
      </c>
      <c r="V63" s="12">
        <v>60.98</v>
      </c>
      <c r="Y63" s="12">
        <v>0.01</v>
      </c>
      <c r="Z63" s="12">
        <v>60.99</v>
      </c>
    </row>
    <row r="64" spans="1:42" x14ac:dyDescent="0.25">
      <c r="A64" s="12" t="s">
        <v>104</v>
      </c>
      <c r="B64" s="12" t="s">
        <v>165</v>
      </c>
      <c r="C64" s="12">
        <v>1</v>
      </c>
      <c r="D64" s="12">
        <v>61.89</v>
      </c>
      <c r="E64" s="12">
        <v>1</v>
      </c>
      <c r="F64" s="12">
        <v>61.91</v>
      </c>
      <c r="G64" s="12">
        <v>0.01</v>
      </c>
      <c r="H64" s="12">
        <v>61.88</v>
      </c>
      <c r="I64" s="12">
        <v>0.01</v>
      </c>
      <c r="J64" s="12">
        <v>61.92</v>
      </c>
      <c r="K64" s="12">
        <v>0.01</v>
      </c>
      <c r="L64" s="12">
        <v>61.87</v>
      </c>
      <c r="M64" s="12">
        <v>0.01</v>
      </c>
      <c r="N64" s="12">
        <v>61.93</v>
      </c>
      <c r="O64" s="12">
        <v>0.01</v>
      </c>
      <c r="P64" s="12">
        <v>61.86</v>
      </c>
      <c r="Q64" s="12">
        <v>0.01</v>
      </c>
      <c r="R64" s="12">
        <v>61.94</v>
      </c>
      <c r="S64" s="12">
        <v>0.01</v>
      </c>
      <c r="T64" s="12">
        <v>61.85</v>
      </c>
      <c r="U64" s="12">
        <v>0.01</v>
      </c>
      <c r="V64" s="12">
        <v>61.95</v>
      </c>
      <c r="W64" s="12">
        <v>0.01</v>
      </c>
      <c r="X64" s="12">
        <v>61.84</v>
      </c>
      <c r="Y64" s="12">
        <v>0.01</v>
      </c>
      <c r="Z64" s="12">
        <v>61.96</v>
      </c>
      <c r="AA64" s="12">
        <v>0.01</v>
      </c>
      <c r="AB64" s="12">
        <v>61.83</v>
      </c>
      <c r="AE64" s="12">
        <v>0.01</v>
      </c>
      <c r="AF64" s="12">
        <v>61.82</v>
      </c>
      <c r="AI64" s="12">
        <v>0.01</v>
      </c>
      <c r="AJ64" s="12">
        <v>61.81</v>
      </c>
      <c r="AM64" s="12">
        <v>0.01</v>
      </c>
      <c r="AN64" s="12">
        <v>61.8</v>
      </c>
    </row>
    <row r="65" spans="1:42" x14ac:dyDescent="0.25">
      <c r="A65" s="12" t="s">
        <v>105</v>
      </c>
      <c r="B65" s="12" t="s">
        <v>165</v>
      </c>
      <c r="C65" s="12">
        <v>1</v>
      </c>
      <c r="D65" s="12">
        <v>62.89</v>
      </c>
      <c r="E65" s="12">
        <v>1</v>
      </c>
      <c r="F65" s="12">
        <v>62.91</v>
      </c>
      <c r="G65" s="12">
        <v>0.01</v>
      </c>
      <c r="H65" s="12">
        <v>62.88</v>
      </c>
      <c r="I65" s="12">
        <v>0.01</v>
      </c>
      <c r="J65" s="12">
        <v>62.92</v>
      </c>
      <c r="K65" s="12">
        <v>0.01</v>
      </c>
      <c r="L65" s="12">
        <v>62.87</v>
      </c>
      <c r="M65" s="12">
        <v>0.01</v>
      </c>
      <c r="N65" s="12">
        <v>62.93</v>
      </c>
      <c r="Q65" s="12">
        <v>0.01</v>
      </c>
      <c r="R65" s="12">
        <v>62.94</v>
      </c>
      <c r="U65" s="12">
        <v>0.01</v>
      </c>
      <c r="V65" s="12">
        <v>62.95</v>
      </c>
      <c r="Y65" s="12">
        <v>0.01</v>
      </c>
      <c r="Z65" s="12">
        <v>62.96</v>
      </c>
      <c r="AC65" s="12">
        <v>0.01</v>
      </c>
      <c r="AD65" s="12">
        <v>62.97</v>
      </c>
      <c r="AG65" s="12">
        <v>0.01</v>
      </c>
      <c r="AH65" s="12">
        <v>62.98</v>
      </c>
      <c r="AK65" s="12">
        <v>0.01</v>
      </c>
      <c r="AL65" s="12">
        <v>62.99</v>
      </c>
      <c r="AO65" s="12">
        <v>0.01</v>
      </c>
      <c r="AP65" s="12">
        <v>63</v>
      </c>
    </row>
    <row r="66" spans="1:42" x14ac:dyDescent="0.25">
      <c r="A66" s="12" t="s">
        <v>106</v>
      </c>
      <c r="B66" s="12" t="s">
        <v>165</v>
      </c>
      <c r="C66" s="12">
        <v>1</v>
      </c>
      <c r="D66" s="12">
        <v>63.89</v>
      </c>
      <c r="E66" s="12">
        <v>1</v>
      </c>
      <c r="F66" s="12">
        <v>63.91</v>
      </c>
      <c r="G66" s="12">
        <v>0.01</v>
      </c>
      <c r="H66" s="12">
        <v>63.88</v>
      </c>
      <c r="I66" s="12">
        <v>0.01</v>
      </c>
      <c r="J66" s="12">
        <v>63.92</v>
      </c>
      <c r="K66" s="12">
        <v>0.01</v>
      </c>
      <c r="L66" s="12">
        <v>63.87</v>
      </c>
      <c r="M66" s="12">
        <v>0.01</v>
      </c>
      <c r="N66" s="12">
        <v>63.93</v>
      </c>
      <c r="O66" s="12">
        <v>0.01</v>
      </c>
      <c r="P66" s="12">
        <v>63.86</v>
      </c>
      <c r="Q66" s="12">
        <v>0.01</v>
      </c>
      <c r="R66" s="12">
        <v>63.94</v>
      </c>
      <c r="S66" s="12">
        <v>0.01</v>
      </c>
      <c r="T66" s="12">
        <v>63.85</v>
      </c>
      <c r="U66" s="12">
        <v>0.01</v>
      </c>
      <c r="V66" s="12">
        <v>63.95</v>
      </c>
      <c r="W66" s="12">
        <v>0.01</v>
      </c>
      <c r="X66" s="12">
        <v>63.84</v>
      </c>
      <c r="Y66" s="12">
        <v>0.01</v>
      </c>
      <c r="Z66" s="12">
        <v>63.96</v>
      </c>
      <c r="AA66" s="12">
        <v>0.01</v>
      </c>
      <c r="AB66" s="12">
        <v>63.83</v>
      </c>
      <c r="AC66" s="12">
        <v>0.01</v>
      </c>
      <c r="AD66" s="12">
        <v>63.97</v>
      </c>
      <c r="AE66" s="12">
        <v>0.01</v>
      </c>
      <c r="AF66" s="12">
        <v>63.82</v>
      </c>
      <c r="AG66" s="12">
        <v>0.01</v>
      </c>
      <c r="AH66" s="12">
        <v>63.98</v>
      </c>
      <c r="AI66" s="12">
        <v>0.01</v>
      </c>
      <c r="AJ66" s="12">
        <v>63.81</v>
      </c>
      <c r="AK66" s="12">
        <v>0.01</v>
      </c>
      <c r="AL66" s="12">
        <v>63.99</v>
      </c>
      <c r="AO66" s="12">
        <v>0.01</v>
      </c>
      <c r="AP66" s="12">
        <v>64</v>
      </c>
    </row>
    <row r="67" spans="1:42" x14ac:dyDescent="0.25">
      <c r="A67" s="12" t="s">
        <v>107</v>
      </c>
      <c r="B67" s="12" t="s">
        <v>169</v>
      </c>
      <c r="C67" s="12">
        <v>1</v>
      </c>
      <c r="D67" s="12">
        <v>64.92</v>
      </c>
      <c r="E67" s="12">
        <v>1</v>
      </c>
      <c r="F67" s="12">
        <v>64.94</v>
      </c>
      <c r="G67" s="12">
        <v>0.01</v>
      </c>
      <c r="H67" s="12">
        <v>64.91</v>
      </c>
      <c r="I67" s="12">
        <v>0.01</v>
      </c>
      <c r="J67" s="12">
        <v>64.95</v>
      </c>
      <c r="K67" s="12">
        <v>0.01</v>
      </c>
      <c r="L67" s="12">
        <v>64.900000000000006</v>
      </c>
      <c r="O67" s="12">
        <v>0.01</v>
      </c>
      <c r="P67" s="12">
        <v>64.89</v>
      </c>
      <c r="S67" s="12">
        <v>0.01</v>
      </c>
      <c r="T67" s="12">
        <v>64.88</v>
      </c>
      <c r="W67" s="12">
        <v>0.01</v>
      </c>
      <c r="X67" s="12">
        <v>64.87</v>
      </c>
    </row>
    <row r="68" spans="1:42" x14ac:dyDescent="0.25">
      <c r="A68" s="12" t="s">
        <v>108</v>
      </c>
      <c r="B68" s="12" t="s">
        <v>169</v>
      </c>
      <c r="C68" s="12">
        <v>1</v>
      </c>
      <c r="D68" s="12">
        <v>65.92</v>
      </c>
      <c r="E68" s="12">
        <v>1</v>
      </c>
      <c r="F68" s="12">
        <v>65.94</v>
      </c>
      <c r="G68" s="12">
        <v>0.01</v>
      </c>
      <c r="H68" s="12">
        <v>65.91</v>
      </c>
      <c r="I68" s="12">
        <v>0.01</v>
      </c>
      <c r="J68" s="12">
        <v>65.95</v>
      </c>
      <c r="M68" s="12">
        <v>0.01</v>
      </c>
      <c r="N68" s="12">
        <v>65.959999999999994</v>
      </c>
      <c r="Q68" s="12">
        <v>0.01</v>
      </c>
      <c r="R68" s="12">
        <v>65.97</v>
      </c>
      <c r="U68" s="12">
        <v>0.01</v>
      </c>
      <c r="V68" s="12">
        <v>65.98</v>
      </c>
      <c r="Y68" s="12">
        <v>0.01</v>
      </c>
      <c r="Z68" s="12">
        <v>65.989999999999995</v>
      </c>
      <c r="AC68" s="12">
        <v>0.01</v>
      </c>
      <c r="AD68" s="12">
        <v>66</v>
      </c>
      <c r="AG68" s="12">
        <v>0.01</v>
      </c>
      <c r="AH68" s="12">
        <v>66.010000000000005</v>
      </c>
      <c r="AK68" s="12">
        <v>0.01</v>
      </c>
      <c r="AL68" s="12">
        <v>66.02</v>
      </c>
      <c r="AO68" s="12">
        <v>0.01</v>
      </c>
      <c r="AP68" s="12">
        <v>66.03</v>
      </c>
    </row>
    <row r="69" spans="1:42" x14ac:dyDescent="0.25">
      <c r="A69" s="12" t="s">
        <v>109</v>
      </c>
      <c r="B69" s="12" t="s">
        <v>169</v>
      </c>
      <c r="C69" s="12">
        <v>1</v>
      </c>
      <c r="D69" s="12">
        <v>66.92</v>
      </c>
      <c r="E69" s="12">
        <v>1</v>
      </c>
      <c r="F69" s="12">
        <v>66.94</v>
      </c>
      <c r="G69" s="12">
        <v>0.01</v>
      </c>
      <c r="H69" s="12">
        <v>66.91</v>
      </c>
      <c r="I69" s="12">
        <v>0.01</v>
      </c>
      <c r="J69" s="12">
        <v>66.95</v>
      </c>
      <c r="K69" s="12">
        <v>0.01</v>
      </c>
      <c r="L69" s="12">
        <v>66.900000000000006</v>
      </c>
      <c r="M69" s="12">
        <v>0.01</v>
      </c>
      <c r="N69" s="12">
        <v>66.959999999999994</v>
      </c>
      <c r="Q69" s="12">
        <v>0.01</v>
      </c>
      <c r="R69" s="12">
        <v>66.97</v>
      </c>
      <c r="U69" s="12">
        <v>0.01</v>
      </c>
      <c r="V69" s="12">
        <v>66.98</v>
      </c>
      <c r="Y69" s="12">
        <v>0.01</v>
      </c>
      <c r="Z69" s="12">
        <v>66.989999999999995</v>
      </c>
      <c r="AC69" s="12">
        <v>0.01</v>
      </c>
      <c r="AD69" s="12">
        <v>67</v>
      </c>
      <c r="AG69" s="12">
        <v>0.01</v>
      </c>
      <c r="AH69" s="12">
        <v>67.010000000000005</v>
      </c>
      <c r="AK69" s="12">
        <v>0.01</v>
      </c>
      <c r="AL69" s="12">
        <v>67.02</v>
      </c>
    </row>
    <row r="70" spans="1:42" x14ac:dyDescent="0.25">
      <c r="A70" s="12" t="s">
        <v>110</v>
      </c>
      <c r="B70" s="12" t="s">
        <v>156</v>
      </c>
      <c r="C70" s="12">
        <v>1</v>
      </c>
      <c r="D70" s="12">
        <v>67.89</v>
      </c>
      <c r="E70" s="12">
        <v>1</v>
      </c>
      <c r="F70" s="12">
        <v>67.91</v>
      </c>
      <c r="G70" s="12">
        <v>0.01</v>
      </c>
      <c r="H70" s="12">
        <v>67.88</v>
      </c>
      <c r="I70" s="12">
        <v>0.01</v>
      </c>
      <c r="J70" s="12">
        <v>67.92</v>
      </c>
      <c r="K70" s="12">
        <v>0.01</v>
      </c>
      <c r="L70" s="12">
        <v>67.87</v>
      </c>
      <c r="M70" s="12">
        <v>0.01</v>
      </c>
      <c r="N70" s="12">
        <v>67.930000000000007</v>
      </c>
      <c r="Q70" s="12">
        <v>0.01</v>
      </c>
      <c r="R70" s="12">
        <v>67.94</v>
      </c>
      <c r="U70" s="12">
        <v>0.01</v>
      </c>
      <c r="V70" s="12">
        <v>67.95</v>
      </c>
      <c r="Y70" s="12">
        <v>0.01</v>
      </c>
      <c r="Z70" s="12">
        <v>67.959999999999994</v>
      </c>
      <c r="AC70" s="12">
        <v>0.01</v>
      </c>
      <c r="AD70" s="12">
        <v>67.97</v>
      </c>
      <c r="AG70" s="12">
        <v>0.01</v>
      </c>
      <c r="AH70" s="12">
        <v>67.98</v>
      </c>
    </row>
    <row r="71" spans="1:42" x14ac:dyDescent="0.25">
      <c r="A71" s="12" t="s">
        <v>111</v>
      </c>
      <c r="B71" s="12" t="s">
        <v>169</v>
      </c>
      <c r="C71" s="12">
        <v>1</v>
      </c>
      <c r="D71" s="12">
        <v>68.92</v>
      </c>
      <c r="E71" s="12">
        <v>1</v>
      </c>
      <c r="F71" s="12">
        <v>68.94</v>
      </c>
      <c r="G71" s="12">
        <v>0.01</v>
      </c>
      <c r="H71" s="12">
        <v>68.91</v>
      </c>
      <c r="I71" s="12">
        <v>0.01</v>
      </c>
      <c r="J71" s="12">
        <v>68.95</v>
      </c>
    </row>
    <row r="72" spans="1:42" x14ac:dyDescent="0.25">
      <c r="A72" s="12" t="s">
        <v>112</v>
      </c>
      <c r="B72" s="12" t="s">
        <v>169</v>
      </c>
      <c r="C72" s="12">
        <v>1</v>
      </c>
      <c r="D72" s="12">
        <v>69.92</v>
      </c>
      <c r="E72" s="12">
        <v>1</v>
      </c>
      <c r="F72" s="12">
        <v>69.94</v>
      </c>
      <c r="G72" s="12">
        <v>0.01</v>
      </c>
      <c r="H72" s="12">
        <v>69.91</v>
      </c>
      <c r="I72" s="12">
        <v>0.01</v>
      </c>
      <c r="J72" s="12">
        <v>69.95</v>
      </c>
      <c r="K72" s="12">
        <v>0.01</v>
      </c>
      <c r="L72" s="12">
        <v>69.900000000000006</v>
      </c>
      <c r="M72" s="12">
        <v>0.01</v>
      </c>
      <c r="N72" s="12">
        <v>69.959999999999994</v>
      </c>
      <c r="O72" s="12">
        <v>0.01</v>
      </c>
      <c r="P72" s="12">
        <v>69.89</v>
      </c>
      <c r="Q72" s="12">
        <v>0.01</v>
      </c>
      <c r="R72" s="12">
        <v>69.97</v>
      </c>
      <c r="S72" s="12">
        <v>0.01</v>
      </c>
      <c r="T72" s="12">
        <v>69.88</v>
      </c>
      <c r="U72" s="12">
        <v>0.01</v>
      </c>
      <c r="V72" s="12">
        <v>69.98</v>
      </c>
      <c r="W72" s="12">
        <v>0.01</v>
      </c>
      <c r="X72" s="12">
        <v>69.87</v>
      </c>
      <c r="Y72" s="12">
        <v>0.01</v>
      </c>
      <c r="Z72" s="12">
        <v>69.989999999999995</v>
      </c>
      <c r="AA72" s="12">
        <v>0.01</v>
      </c>
      <c r="AB72" s="12">
        <v>69.86</v>
      </c>
      <c r="AC72" s="12">
        <v>0.01</v>
      </c>
      <c r="AD72" s="12">
        <v>70</v>
      </c>
      <c r="AE72" s="12">
        <v>0.01</v>
      </c>
      <c r="AF72" s="12">
        <v>69.849999999999994</v>
      </c>
      <c r="AG72" s="12">
        <v>0.01</v>
      </c>
      <c r="AH72" s="12">
        <v>70.010000000000005</v>
      </c>
      <c r="AI72" s="12">
        <v>0.01</v>
      </c>
      <c r="AJ72" s="12">
        <v>69.84</v>
      </c>
      <c r="AK72" s="12">
        <v>0.01</v>
      </c>
      <c r="AL72" s="12">
        <v>70.02</v>
      </c>
    </row>
    <row r="73" spans="1:42" x14ac:dyDescent="0.25">
      <c r="A73" s="12" t="s">
        <v>113</v>
      </c>
      <c r="B73" s="12" t="s">
        <v>156</v>
      </c>
      <c r="C73" s="12">
        <v>1</v>
      </c>
      <c r="D73" s="12">
        <v>70.89</v>
      </c>
      <c r="E73" s="12">
        <v>1</v>
      </c>
      <c r="F73" s="12">
        <v>70.91</v>
      </c>
      <c r="G73" s="12">
        <v>0.01</v>
      </c>
      <c r="H73" s="12">
        <v>70.88</v>
      </c>
      <c r="I73" s="12">
        <v>0.01</v>
      </c>
      <c r="J73" s="12">
        <v>70.92</v>
      </c>
      <c r="K73" s="12">
        <v>0.01</v>
      </c>
      <c r="L73" s="12">
        <v>70.87</v>
      </c>
      <c r="M73" s="12">
        <v>0.01</v>
      </c>
      <c r="N73" s="12">
        <v>70.930000000000007</v>
      </c>
      <c r="O73" s="12">
        <v>0.01</v>
      </c>
      <c r="P73" s="12">
        <v>70.86</v>
      </c>
    </row>
    <row r="74" spans="1:42" x14ac:dyDescent="0.25">
      <c r="A74" s="12" t="s">
        <v>114</v>
      </c>
      <c r="B74" s="12" t="s">
        <v>167</v>
      </c>
      <c r="C74" s="12">
        <v>1</v>
      </c>
      <c r="D74" s="12">
        <v>71.89</v>
      </c>
      <c r="E74" s="12">
        <v>1</v>
      </c>
      <c r="F74" s="12">
        <v>71.91</v>
      </c>
      <c r="I74" s="12">
        <v>0.01</v>
      </c>
      <c r="J74" s="12">
        <v>71.92</v>
      </c>
      <c r="M74" s="12">
        <v>0.01</v>
      </c>
      <c r="N74" s="12">
        <v>71.930000000000007</v>
      </c>
      <c r="Q74" s="12">
        <v>0.01</v>
      </c>
      <c r="R74" s="12">
        <v>71.94</v>
      </c>
    </row>
    <row r="75" spans="1:42" x14ac:dyDescent="0.25">
      <c r="A75" s="12" t="s">
        <v>115</v>
      </c>
      <c r="B75" s="12" t="s">
        <v>167</v>
      </c>
      <c r="C75" s="12">
        <v>1</v>
      </c>
      <c r="D75" s="12">
        <v>72.89</v>
      </c>
      <c r="E75" s="12">
        <v>1</v>
      </c>
      <c r="F75" s="12">
        <v>72.91</v>
      </c>
      <c r="G75" s="12">
        <v>0.01</v>
      </c>
      <c r="H75" s="12">
        <v>72.88</v>
      </c>
      <c r="I75" s="12">
        <v>0.01</v>
      </c>
      <c r="J75" s="12">
        <v>72.92</v>
      </c>
      <c r="K75" s="12">
        <v>0.01</v>
      </c>
      <c r="L75" s="12">
        <v>72.87</v>
      </c>
      <c r="M75" s="12">
        <v>0.01</v>
      </c>
      <c r="N75" s="12">
        <v>72.930000000000007</v>
      </c>
      <c r="Q75" s="12">
        <v>0.01</v>
      </c>
      <c r="R75" s="12">
        <v>72.94</v>
      </c>
      <c r="U75" s="12">
        <v>0.01</v>
      </c>
      <c r="V75" s="12">
        <v>72.95</v>
      </c>
      <c r="Y75" s="12">
        <v>0.01</v>
      </c>
      <c r="Z75" s="12">
        <v>72.959999999999994</v>
      </c>
    </row>
    <row r="76" spans="1:42" x14ac:dyDescent="0.25">
      <c r="A76" s="12" t="s">
        <v>116</v>
      </c>
      <c r="B76" s="12" t="s">
        <v>167</v>
      </c>
      <c r="C76" s="12">
        <v>1</v>
      </c>
      <c r="D76" s="12">
        <v>73.89</v>
      </c>
      <c r="E76" s="12">
        <v>1</v>
      </c>
      <c r="F76" s="12">
        <v>73.91</v>
      </c>
      <c r="G76" s="12">
        <v>0.01</v>
      </c>
      <c r="H76" s="12">
        <v>73.88</v>
      </c>
      <c r="I76" s="12">
        <v>0.01</v>
      </c>
      <c r="J76" s="12">
        <v>73.92</v>
      </c>
      <c r="K76" s="12">
        <v>0.01</v>
      </c>
      <c r="L76" s="12">
        <v>73.87</v>
      </c>
    </row>
    <row r="77" spans="1:42" x14ac:dyDescent="0.25">
      <c r="A77" s="12" t="s">
        <v>117</v>
      </c>
      <c r="B77" s="12" t="s">
        <v>155</v>
      </c>
      <c r="C77" s="12">
        <v>1</v>
      </c>
      <c r="D77" s="12">
        <v>74.89</v>
      </c>
      <c r="E77" s="12">
        <v>1</v>
      </c>
      <c r="F77" s="12">
        <v>74.91</v>
      </c>
      <c r="G77" s="12">
        <v>0.01</v>
      </c>
      <c r="H77" s="12">
        <v>74.88</v>
      </c>
      <c r="I77" s="12">
        <v>0.01</v>
      </c>
      <c r="J77" s="12">
        <v>74.92</v>
      </c>
      <c r="K77" s="12">
        <v>0.01</v>
      </c>
      <c r="L77" s="12">
        <v>74.87</v>
      </c>
      <c r="M77" s="12">
        <v>0.01</v>
      </c>
      <c r="N77" s="12">
        <v>74.930000000000007</v>
      </c>
      <c r="Q77" s="12">
        <v>0.01</v>
      </c>
      <c r="R77" s="12">
        <v>74.94</v>
      </c>
      <c r="U77" s="12">
        <v>0.01</v>
      </c>
      <c r="V77" s="12">
        <v>74.95</v>
      </c>
      <c r="Y77" s="12">
        <v>0.01</v>
      </c>
      <c r="Z77" s="12">
        <v>74.959999999999994</v>
      </c>
    </row>
    <row r="78" spans="1:42" x14ac:dyDescent="0.25">
      <c r="A78" s="12" t="s">
        <v>118</v>
      </c>
      <c r="B78" s="12" t="s">
        <v>176</v>
      </c>
      <c r="C78" s="12">
        <v>1</v>
      </c>
      <c r="D78" s="12">
        <v>75.92</v>
      </c>
      <c r="E78" s="12">
        <v>1</v>
      </c>
      <c r="F78" s="12">
        <v>75.94</v>
      </c>
      <c r="G78" s="12">
        <v>0.01</v>
      </c>
      <c r="H78" s="12">
        <v>75.91</v>
      </c>
      <c r="I78" s="12">
        <v>0.01</v>
      </c>
      <c r="J78" s="12">
        <v>75.95</v>
      </c>
      <c r="K78" s="12">
        <v>0.01</v>
      </c>
      <c r="L78" s="12">
        <v>75.900000000000006</v>
      </c>
      <c r="M78" s="12">
        <v>0.01</v>
      </c>
      <c r="N78" s="12">
        <v>75.959999999999994</v>
      </c>
      <c r="O78" s="12">
        <v>0.01</v>
      </c>
      <c r="P78" s="12">
        <v>75.89</v>
      </c>
      <c r="Q78" s="12">
        <v>0.01</v>
      </c>
      <c r="R78" s="12">
        <v>75.97</v>
      </c>
    </row>
    <row r="79" spans="1:42" x14ac:dyDescent="0.25">
      <c r="A79" s="12" t="s">
        <v>119</v>
      </c>
      <c r="B79" s="12" t="s">
        <v>176</v>
      </c>
      <c r="C79" s="12">
        <v>1</v>
      </c>
      <c r="D79" s="12">
        <v>76.92</v>
      </c>
      <c r="E79" s="12">
        <v>1</v>
      </c>
      <c r="F79" s="12">
        <v>76.94</v>
      </c>
      <c r="G79" s="12">
        <v>0.01</v>
      </c>
      <c r="H79" s="12">
        <v>76.91</v>
      </c>
      <c r="I79" s="12">
        <v>0.01</v>
      </c>
      <c r="J79" s="12">
        <v>76.95</v>
      </c>
      <c r="K79" s="12">
        <v>0.01</v>
      </c>
      <c r="L79" s="12">
        <v>76.900000000000006</v>
      </c>
      <c r="M79" s="12">
        <v>0.01</v>
      </c>
      <c r="N79" s="12">
        <v>76.959999999999994</v>
      </c>
      <c r="O79" s="12">
        <v>0.01</v>
      </c>
      <c r="P79" s="12">
        <v>76.89</v>
      </c>
      <c r="Q79" s="12">
        <v>0.01</v>
      </c>
      <c r="R79" s="12">
        <v>76.97</v>
      </c>
      <c r="S79" s="12">
        <v>0.01</v>
      </c>
      <c r="T79" s="12">
        <v>76.88</v>
      </c>
      <c r="U79" s="12">
        <v>0.01</v>
      </c>
      <c r="V79" s="12">
        <v>76.98</v>
      </c>
      <c r="W79" s="12">
        <v>0.01</v>
      </c>
      <c r="X79" s="12">
        <v>76.87</v>
      </c>
      <c r="Y79" s="12">
        <v>0.01</v>
      </c>
      <c r="Z79" s="12">
        <v>76.989999999999995</v>
      </c>
      <c r="AA79" s="12">
        <v>0.01</v>
      </c>
      <c r="AB79" s="12">
        <v>76.86</v>
      </c>
      <c r="AE79" s="12">
        <v>0.01</v>
      </c>
      <c r="AF79" s="12">
        <v>76.849999999999994</v>
      </c>
      <c r="AI79" s="12">
        <v>0.01</v>
      </c>
      <c r="AJ79" s="12">
        <v>76.84</v>
      </c>
    </row>
    <row r="80" spans="1:42" x14ac:dyDescent="0.25">
      <c r="A80" s="12" t="s">
        <v>120</v>
      </c>
      <c r="B80" s="12" t="s">
        <v>176</v>
      </c>
      <c r="C80" s="12">
        <v>1</v>
      </c>
      <c r="D80" s="12">
        <v>77.92</v>
      </c>
      <c r="E80" s="12">
        <v>1</v>
      </c>
      <c r="F80" s="12">
        <v>77.94</v>
      </c>
      <c r="G80" s="12">
        <v>0.01</v>
      </c>
      <c r="H80" s="12">
        <v>77.91</v>
      </c>
      <c r="I80" s="12">
        <v>0.01</v>
      </c>
      <c r="J80" s="12">
        <v>77.95</v>
      </c>
      <c r="K80" s="12">
        <v>0.01</v>
      </c>
      <c r="L80" s="12">
        <v>77.900000000000006</v>
      </c>
      <c r="M80" s="12">
        <v>0.01</v>
      </c>
      <c r="N80" s="12">
        <v>77.959999999999994</v>
      </c>
      <c r="O80" s="12">
        <v>0.01</v>
      </c>
      <c r="P80" s="12">
        <v>77.89</v>
      </c>
      <c r="Q80" s="12">
        <v>0.01</v>
      </c>
      <c r="R80" s="12">
        <v>77.97</v>
      </c>
      <c r="S80" s="12">
        <v>0.01</v>
      </c>
      <c r="T80" s="12">
        <v>77.88</v>
      </c>
      <c r="U80" s="12">
        <v>0.01</v>
      </c>
      <c r="V80" s="12">
        <v>77.98</v>
      </c>
      <c r="W80" s="12">
        <v>0.01</v>
      </c>
      <c r="X80" s="12">
        <v>77.87</v>
      </c>
    </row>
    <row r="81" spans="1:42" x14ac:dyDescent="0.25">
      <c r="A81" s="12" t="s">
        <v>121</v>
      </c>
      <c r="B81" s="12" t="s">
        <v>162</v>
      </c>
      <c r="C81" s="12">
        <v>1</v>
      </c>
      <c r="D81" s="12">
        <v>78.89</v>
      </c>
      <c r="E81" s="12">
        <v>1</v>
      </c>
      <c r="F81" s="12">
        <v>78.91</v>
      </c>
      <c r="G81" s="12">
        <v>0.01</v>
      </c>
      <c r="H81" s="12">
        <v>78.88</v>
      </c>
      <c r="I81" s="12">
        <v>0.01</v>
      </c>
      <c r="J81" s="12">
        <v>78.92</v>
      </c>
      <c r="K81" s="12">
        <v>0.01</v>
      </c>
      <c r="L81" s="12">
        <v>78.87</v>
      </c>
      <c r="M81" s="12">
        <v>0.01</v>
      </c>
      <c r="N81" s="12">
        <v>78.930000000000007</v>
      </c>
      <c r="O81" s="12">
        <v>0.01</v>
      </c>
      <c r="P81" s="12">
        <v>78.86</v>
      </c>
      <c r="Q81" s="12">
        <v>0.01</v>
      </c>
      <c r="R81" s="12">
        <v>78.94</v>
      </c>
      <c r="S81" s="12">
        <v>0.01</v>
      </c>
      <c r="T81" s="12">
        <v>78.849999999999994</v>
      </c>
      <c r="U81" s="12">
        <v>0.01</v>
      </c>
      <c r="V81" s="12">
        <v>78.95</v>
      </c>
      <c r="W81" s="12">
        <v>0.01</v>
      </c>
      <c r="X81" s="12">
        <v>78.84</v>
      </c>
      <c r="Y81" s="12">
        <v>0.01</v>
      </c>
      <c r="Z81" s="12">
        <v>78.959999999999994</v>
      </c>
      <c r="AA81" s="12">
        <v>0.01</v>
      </c>
      <c r="AB81" s="12">
        <v>78.83</v>
      </c>
      <c r="AC81" s="12">
        <v>0.01</v>
      </c>
      <c r="AD81" s="12">
        <v>78.97</v>
      </c>
      <c r="AE81" s="12">
        <v>0.01</v>
      </c>
      <c r="AF81" s="12">
        <v>78.819999999999993</v>
      </c>
      <c r="AG81" s="12">
        <v>0.01</v>
      </c>
      <c r="AH81" s="12">
        <v>78.98</v>
      </c>
      <c r="AI81" s="12">
        <v>0.01</v>
      </c>
      <c r="AJ81" s="12">
        <v>78.81</v>
      </c>
      <c r="AK81" s="12">
        <v>0.01</v>
      </c>
      <c r="AL81" s="12">
        <v>78.989999999999995</v>
      </c>
    </row>
    <row r="82" spans="1:42" x14ac:dyDescent="0.25">
      <c r="A82" s="12" t="s">
        <v>122</v>
      </c>
      <c r="B82" s="12" t="s">
        <v>162</v>
      </c>
      <c r="C82" s="12">
        <v>1</v>
      </c>
      <c r="D82" s="12">
        <v>79.89</v>
      </c>
      <c r="E82" s="12">
        <v>1</v>
      </c>
      <c r="F82" s="12">
        <v>79.91</v>
      </c>
      <c r="G82" s="12">
        <v>0.01</v>
      </c>
      <c r="H82" s="12">
        <v>79.88</v>
      </c>
      <c r="I82" s="12">
        <v>0.01</v>
      </c>
      <c r="J82" s="12">
        <v>79.92</v>
      </c>
      <c r="K82" s="12">
        <v>0.01</v>
      </c>
      <c r="L82" s="12">
        <v>79.87</v>
      </c>
      <c r="O82" s="12">
        <v>0.01</v>
      </c>
      <c r="P82" s="12">
        <v>79.86</v>
      </c>
      <c r="S82" s="12">
        <v>0.01</v>
      </c>
      <c r="T82" s="12">
        <v>79.849999999999994</v>
      </c>
      <c r="W82" s="12">
        <v>0.01</v>
      </c>
      <c r="X82" s="12">
        <v>79.84</v>
      </c>
    </row>
    <row r="83" spans="1:42" x14ac:dyDescent="0.25">
      <c r="A83" s="12" t="s">
        <v>123</v>
      </c>
      <c r="B83" s="12" t="s">
        <v>162</v>
      </c>
      <c r="C83" s="12">
        <v>1</v>
      </c>
      <c r="D83" s="12">
        <v>80.89</v>
      </c>
      <c r="E83" s="12">
        <v>1</v>
      </c>
      <c r="F83" s="12">
        <v>80.91</v>
      </c>
      <c r="G83" s="12">
        <v>0.01</v>
      </c>
      <c r="H83" s="12">
        <v>80.88</v>
      </c>
      <c r="I83" s="12">
        <v>0.01</v>
      </c>
      <c r="J83" s="12">
        <v>80.92</v>
      </c>
      <c r="K83" s="12">
        <v>0.01</v>
      </c>
      <c r="L83" s="12">
        <v>80.87</v>
      </c>
      <c r="M83" s="12">
        <v>0.01</v>
      </c>
      <c r="N83" s="12">
        <v>80.930000000000007</v>
      </c>
      <c r="O83" s="12">
        <v>0.01</v>
      </c>
      <c r="P83" s="12">
        <v>80.86</v>
      </c>
      <c r="Q83" s="12">
        <v>0.01</v>
      </c>
      <c r="R83" s="12">
        <v>80.94</v>
      </c>
      <c r="S83" s="12">
        <v>0.01</v>
      </c>
      <c r="T83" s="12">
        <v>80.849999999999994</v>
      </c>
      <c r="U83" s="12">
        <v>0.01</v>
      </c>
      <c r="V83" s="12">
        <v>80.95</v>
      </c>
      <c r="W83" s="12">
        <v>0.01</v>
      </c>
      <c r="X83" s="12">
        <v>80.84</v>
      </c>
      <c r="AA83" s="12">
        <v>0.01</v>
      </c>
      <c r="AB83" s="12">
        <v>80.83</v>
      </c>
      <c r="AE83" s="12">
        <v>0.01</v>
      </c>
      <c r="AF83" s="12">
        <v>80.819999999999993</v>
      </c>
    </row>
    <row r="84" spans="1:42" x14ac:dyDescent="0.25">
      <c r="A84" s="12" t="s">
        <v>124</v>
      </c>
      <c r="B84" s="12" t="s">
        <v>176</v>
      </c>
      <c r="C84" s="12">
        <v>1</v>
      </c>
      <c r="D84" s="12">
        <v>81.92</v>
      </c>
      <c r="E84" s="12">
        <v>1</v>
      </c>
      <c r="F84" s="12">
        <v>81.94</v>
      </c>
      <c r="I84" s="12">
        <v>0.01</v>
      </c>
      <c r="J84" s="12">
        <v>81.95</v>
      </c>
      <c r="M84" s="12">
        <v>0.01</v>
      </c>
      <c r="N84" s="12">
        <v>81.96</v>
      </c>
      <c r="Q84" s="12">
        <v>0.01</v>
      </c>
      <c r="R84" s="12">
        <v>81.97</v>
      </c>
    </row>
    <row r="85" spans="1:42" x14ac:dyDescent="0.25">
      <c r="A85" s="12" t="s">
        <v>125</v>
      </c>
      <c r="B85" s="12" t="s">
        <v>176</v>
      </c>
      <c r="C85" s="12">
        <v>1</v>
      </c>
      <c r="D85" s="12">
        <v>82.92</v>
      </c>
      <c r="E85" s="12">
        <v>1</v>
      </c>
      <c r="F85" s="12">
        <v>82.94</v>
      </c>
      <c r="G85" s="12">
        <v>0.01</v>
      </c>
      <c r="H85" s="12">
        <v>82.91</v>
      </c>
      <c r="I85" s="12">
        <v>0.01</v>
      </c>
      <c r="J85" s="12">
        <v>82.95</v>
      </c>
      <c r="M85" s="12">
        <v>0.01</v>
      </c>
      <c r="N85" s="12">
        <v>82.96</v>
      </c>
      <c r="Q85" s="12">
        <v>0.01</v>
      </c>
      <c r="R85" s="12">
        <v>82.97</v>
      </c>
      <c r="U85" s="12">
        <v>0.01</v>
      </c>
      <c r="V85" s="12">
        <v>82.98</v>
      </c>
      <c r="Y85" s="12">
        <v>0.01</v>
      </c>
      <c r="Z85" s="12">
        <v>82.99</v>
      </c>
      <c r="AC85" s="12">
        <v>0.01</v>
      </c>
      <c r="AD85" s="12">
        <v>83</v>
      </c>
      <c r="AG85" s="12">
        <v>0.01</v>
      </c>
      <c r="AH85" s="12">
        <v>83.01</v>
      </c>
    </row>
    <row r="86" spans="1:42" x14ac:dyDescent="0.25">
      <c r="A86" s="12" t="s">
        <v>126</v>
      </c>
      <c r="B86" s="12" t="s">
        <v>160</v>
      </c>
      <c r="C86" s="12">
        <v>1</v>
      </c>
      <c r="D86" s="12">
        <v>83.89</v>
      </c>
      <c r="E86" s="12">
        <v>1</v>
      </c>
      <c r="F86" s="12">
        <v>83.91</v>
      </c>
      <c r="G86" s="12">
        <v>0.01</v>
      </c>
      <c r="H86" s="12">
        <v>83.88</v>
      </c>
      <c r="I86" s="12">
        <v>0.01</v>
      </c>
      <c r="J86" s="12">
        <v>83.92</v>
      </c>
      <c r="K86" s="12">
        <v>0.01</v>
      </c>
      <c r="L86" s="12">
        <v>83.87</v>
      </c>
      <c r="M86" s="12">
        <v>0.01</v>
      </c>
      <c r="N86" s="12">
        <v>83.93</v>
      </c>
      <c r="O86" s="12">
        <v>0.01</v>
      </c>
      <c r="P86" s="12">
        <v>83.86</v>
      </c>
      <c r="Q86" s="12">
        <v>0.01</v>
      </c>
      <c r="R86" s="12">
        <v>83.94</v>
      </c>
      <c r="S86" s="12">
        <v>0.01</v>
      </c>
      <c r="T86" s="12">
        <v>83.85</v>
      </c>
      <c r="U86" s="12">
        <v>0.01</v>
      </c>
      <c r="V86" s="12">
        <v>83.95</v>
      </c>
      <c r="Y86" s="12">
        <v>0.01</v>
      </c>
      <c r="Z86" s="12">
        <v>83.96</v>
      </c>
      <c r="AC86" s="12">
        <v>0.01</v>
      </c>
      <c r="AD86" s="12">
        <v>83.97</v>
      </c>
      <c r="AG86" s="12">
        <v>0.01</v>
      </c>
      <c r="AH86" s="12">
        <v>83.98</v>
      </c>
      <c r="AK86" s="12">
        <v>0.01</v>
      </c>
      <c r="AL86" s="12">
        <v>83.99</v>
      </c>
    </row>
    <row r="87" spans="1:42" x14ac:dyDescent="0.25">
      <c r="A87" s="12" t="s">
        <v>127</v>
      </c>
      <c r="B87" s="12" t="s">
        <v>176</v>
      </c>
      <c r="C87" s="12">
        <v>1</v>
      </c>
      <c r="D87" s="12">
        <v>84.92</v>
      </c>
      <c r="E87" s="12">
        <v>1</v>
      </c>
      <c r="F87" s="12">
        <v>84.94</v>
      </c>
      <c r="G87" s="12">
        <v>0.01</v>
      </c>
      <c r="H87" s="12">
        <v>84.91</v>
      </c>
      <c r="I87" s="12">
        <v>0.01</v>
      </c>
      <c r="J87" s="12">
        <v>84.95</v>
      </c>
      <c r="K87" s="12">
        <v>0.01</v>
      </c>
      <c r="L87" s="12">
        <v>84.9</v>
      </c>
      <c r="M87" s="12">
        <v>0.01</v>
      </c>
      <c r="N87" s="12">
        <v>84.96</v>
      </c>
      <c r="O87" s="12">
        <v>0.01</v>
      </c>
      <c r="P87" s="12">
        <v>84.89</v>
      </c>
      <c r="Q87" s="12">
        <v>0.01</v>
      </c>
      <c r="R87" s="12">
        <v>84.97</v>
      </c>
      <c r="S87" s="12">
        <v>0.01</v>
      </c>
      <c r="T87" s="12">
        <v>84.88</v>
      </c>
      <c r="U87" s="12">
        <v>0.01</v>
      </c>
      <c r="V87" s="12">
        <v>84.98</v>
      </c>
      <c r="Y87" s="12">
        <v>0.01</v>
      </c>
      <c r="Z87" s="12">
        <v>84.99</v>
      </c>
      <c r="AC87" s="12">
        <v>0.01</v>
      </c>
      <c r="AD87" s="12">
        <v>85</v>
      </c>
      <c r="AG87" s="12">
        <v>0.01</v>
      </c>
      <c r="AH87" s="12">
        <v>85.01</v>
      </c>
    </row>
    <row r="88" spans="1:42" x14ac:dyDescent="0.25">
      <c r="A88" s="12" t="s">
        <v>128</v>
      </c>
      <c r="B88" s="12" t="s">
        <v>163</v>
      </c>
      <c r="C88" s="12">
        <v>1</v>
      </c>
      <c r="D88" s="12">
        <v>85.89</v>
      </c>
      <c r="E88" s="12">
        <v>1</v>
      </c>
      <c r="F88" s="12">
        <v>85.91</v>
      </c>
      <c r="G88" s="12">
        <v>0.01</v>
      </c>
      <c r="H88" s="12">
        <v>85.88</v>
      </c>
      <c r="I88" s="12">
        <v>0.01</v>
      </c>
      <c r="J88" s="12">
        <v>85.92</v>
      </c>
      <c r="K88" s="12">
        <v>0.01</v>
      </c>
      <c r="L88" s="12">
        <v>85.87</v>
      </c>
      <c r="M88" s="12">
        <v>0.01</v>
      </c>
      <c r="N88" s="12">
        <v>85.93</v>
      </c>
      <c r="O88" s="12">
        <v>0.01</v>
      </c>
      <c r="P88" s="12">
        <v>85.86</v>
      </c>
      <c r="Q88" s="12">
        <v>0.01</v>
      </c>
      <c r="R88" s="12">
        <v>85.94</v>
      </c>
      <c r="S88" s="12">
        <v>0.01</v>
      </c>
      <c r="T88" s="12">
        <v>85.85</v>
      </c>
      <c r="U88" s="12">
        <v>0.01</v>
      </c>
      <c r="V88" s="12">
        <v>85.95</v>
      </c>
      <c r="W88" s="12">
        <v>0.01</v>
      </c>
      <c r="X88" s="12">
        <v>85.84</v>
      </c>
      <c r="AA88" s="12">
        <v>0.01</v>
      </c>
      <c r="AB88" s="12">
        <v>85.83</v>
      </c>
      <c r="AE88" s="12">
        <v>0.01</v>
      </c>
      <c r="AF88" s="12">
        <v>85.82</v>
      </c>
      <c r="AI88" s="12">
        <v>0.01</v>
      </c>
      <c r="AJ88" s="12">
        <v>85.81</v>
      </c>
    </row>
    <row r="89" spans="1:42" x14ac:dyDescent="0.25">
      <c r="A89" s="12" t="s">
        <v>129</v>
      </c>
      <c r="B89" s="12" t="s">
        <v>163</v>
      </c>
      <c r="C89" s="12">
        <v>1</v>
      </c>
      <c r="D89" s="12">
        <v>86.89</v>
      </c>
      <c r="E89" s="12">
        <v>1</v>
      </c>
      <c r="F89" s="12">
        <v>86.91</v>
      </c>
      <c r="G89" s="12">
        <v>0.01</v>
      </c>
      <c r="H89" s="12">
        <v>86.88</v>
      </c>
      <c r="I89" s="12">
        <v>0.01</v>
      </c>
      <c r="J89" s="12">
        <v>86.92</v>
      </c>
      <c r="K89" s="12">
        <v>0.01</v>
      </c>
      <c r="L89" s="12">
        <v>86.87</v>
      </c>
      <c r="M89" s="12">
        <v>0.01</v>
      </c>
      <c r="N89" s="12">
        <v>86.93</v>
      </c>
      <c r="Q89" s="12">
        <v>0.01</v>
      </c>
      <c r="R89" s="12">
        <v>86.94</v>
      </c>
      <c r="U89" s="12">
        <v>0.01</v>
      </c>
      <c r="V89" s="12">
        <v>86.95</v>
      </c>
      <c r="Y89" s="12">
        <v>0.01</v>
      </c>
      <c r="Z89" s="12">
        <v>86.96</v>
      </c>
      <c r="AC89" s="12">
        <v>0.01</v>
      </c>
      <c r="AD89" s="12">
        <v>86.97</v>
      </c>
    </row>
    <row r="90" spans="1:42" x14ac:dyDescent="0.25">
      <c r="A90" s="12" t="s">
        <v>130</v>
      </c>
      <c r="B90" s="12" t="s">
        <v>166</v>
      </c>
      <c r="C90" s="12">
        <v>1</v>
      </c>
      <c r="D90" s="12">
        <v>87.89</v>
      </c>
      <c r="E90" s="12">
        <v>1</v>
      </c>
      <c r="F90" s="12">
        <v>87.91</v>
      </c>
      <c r="I90" s="12">
        <v>0.01</v>
      </c>
      <c r="J90" s="12">
        <v>87.92</v>
      </c>
      <c r="M90" s="12">
        <v>0.01</v>
      </c>
      <c r="N90" s="12">
        <v>87.93</v>
      </c>
      <c r="Q90" s="12">
        <v>0.01</v>
      </c>
      <c r="R90" s="12">
        <v>87.94</v>
      </c>
      <c r="U90" s="12">
        <v>0.01</v>
      </c>
      <c r="V90" s="12">
        <v>87.95</v>
      </c>
      <c r="Y90" s="12">
        <v>0.01</v>
      </c>
      <c r="Z90" s="12">
        <v>87.96</v>
      </c>
      <c r="AC90" s="12">
        <v>0.01</v>
      </c>
      <c r="AD90" s="12">
        <v>87.97</v>
      </c>
    </row>
    <row r="91" spans="1:42" x14ac:dyDescent="0.25">
      <c r="A91" s="12" t="s">
        <v>131</v>
      </c>
      <c r="B91" s="12" t="s">
        <v>166</v>
      </c>
      <c r="C91" s="12">
        <v>1</v>
      </c>
      <c r="D91" s="12">
        <v>88.89</v>
      </c>
      <c r="E91" s="12">
        <v>1</v>
      </c>
      <c r="F91" s="12">
        <v>88.91</v>
      </c>
      <c r="G91" s="12">
        <v>0.01</v>
      </c>
      <c r="H91" s="12">
        <v>88.88</v>
      </c>
      <c r="I91" s="12">
        <v>0.01</v>
      </c>
      <c r="J91" s="12">
        <v>88.92</v>
      </c>
      <c r="K91" s="12">
        <v>0.01</v>
      </c>
      <c r="L91" s="12">
        <v>88.87</v>
      </c>
      <c r="M91" s="12">
        <v>0.01</v>
      </c>
      <c r="N91" s="12">
        <v>88.93</v>
      </c>
      <c r="O91" s="12">
        <v>0.01</v>
      </c>
      <c r="P91" s="12">
        <v>88.86</v>
      </c>
      <c r="Q91" s="12">
        <v>0.01</v>
      </c>
      <c r="R91" s="12">
        <v>88.94</v>
      </c>
      <c r="S91" s="12">
        <v>0.01</v>
      </c>
      <c r="T91" s="12">
        <v>88.85</v>
      </c>
      <c r="U91" s="12">
        <v>0.01</v>
      </c>
      <c r="V91" s="12">
        <v>88.95</v>
      </c>
      <c r="W91" s="12">
        <v>0.01</v>
      </c>
      <c r="X91" s="12">
        <v>88.84</v>
      </c>
      <c r="Y91" s="12">
        <v>0.01</v>
      </c>
      <c r="Z91" s="12">
        <v>88.96</v>
      </c>
      <c r="AA91" s="12">
        <v>0.01</v>
      </c>
      <c r="AB91" s="12">
        <v>88.83</v>
      </c>
      <c r="AC91" s="12">
        <v>0.01</v>
      </c>
      <c r="AD91" s="12">
        <v>88.97</v>
      </c>
      <c r="AG91" s="12">
        <v>0.01</v>
      </c>
      <c r="AH91" s="12">
        <v>88.98</v>
      </c>
    </row>
    <row r="92" spans="1:42" x14ac:dyDescent="0.25">
      <c r="A92" s="12" t="s">
        <v>132</v>
      </c>
      <c r="B92" s="12" t="s">
        <v>166</v>
      </c>
      <c r="C92" s="12">
        <v>1</v>
      </c>
      <c r="D92" s="12">
        <v>89.89</v>
      </c>
      <c r="E92" s="12">
        <v>1</v>
      </c>
      <c r="F92" s="12">
        <v>89.91</v>
      </c>
      <c r="G92" s="12">
        <v>0.01</v>
      </c>
      <c r="H92" s="12">
        <v>89.88</v>
      </c>
      <c r="I92" s="12">
        <v>0.01</v>
      </c>
      <c r="J92" s="12">
        <v>89.92</v>
      </c>
    </row>
    <row r="93" spans="1:42" x14ac:dyDescent="0.25">
      <c r="A93" s="12" t="s">
        <v>133</v>
      </c>
      <c r="B93" s="12" t="s">
        <v>171</v>
      </c>
      <c r="C93" s="12">
        <v>1</v>
      </c>
      <c r="D93" s="12">
        <v>90.92</v>
      </c>
      <c r="E93" s="12">
        <v>1</v>
      </c>
      <c r="F93" s="12">
        <v>90.94</v>
      </c>
      <c r="G93" s="12">
        <v>0.01</v>
      </c>
      <c r="H93" s="12">
        <v>90.91</v>
      </c>
      <c r="I93" s="12">
        <v>0.01</v>
      </c>
      <c r="J93" s="12">
        <v>90.95</v>
      </c>
      <c r="K93" s="12">
        <v>0.01</v>
      </c>
      <c r="L93" s="12">
        <v>90.9</v>
      </c>
      <c r="M93" s="12">
        <v>0.01</v>
      </c>
      <c r="N93" s="12">
        <v>90.96</v>
      </c>
      <c r="O93" s="12">
        <v>0.01</v>
      </c>
      <c r="P93" s="12">
        <v>90.89</v>
      </c>
      <c r="Q93" s="12">
        <v>0.01</v>
      </c>
      <c r="R93" s="12">
        <v>90.97</v>
      </c>
      <c r="U93" s="12">
        <v>0.01</v>
      </c>
      <c r="V93" s="12">
        <v>90.98</v>
      </c>
      <c r="Y93" s="12">
        <v>0.01</v>
      </c>
      <c r="Z93" s="12">
        <v>90.99</v>
      </c>
    </row>
    <row r="94" spans="1:42" x14ac:dyDescent="0.25">
      <c r="A94" s="12" t="s">
        <v>134</v>
      </c>
      <c r="B94" s="12" t="s">
        <v>161</v>
      </c>
      <c r="C94" s="12">
        <v>1</v>
      </c>
      <c r="D94" s="12">
        <v>91.89</v>
      </c>
      <c r="E94" s="12">
        <v>1</v>
      </c>
      <c r="F94" s="12">
        <v>91.91</v>
      </c>
      <c r="I94" s="12">
        <v>0.01</v>
      </c>
      <c r="J94" s="12">
        <v>91.92</v>
      </c>
      <c r="M94" s="12">
        <v>0.01</v>
      </c>
      <c r="N94" s="12">
        <v>91.93</v>
      </c>
    </row>
    <row r="95" spans="1:42" x14ac:dyDescent="0.25">
      <c r="A95" s="12" t="s">
        <v>135</v>
      </c>
      <c r="B95" s="12" t="s">
        <v>171</v>
      </c>
      <c r="C95" s="12">
        <v>1</v>
      </c>
      <c r="D95" s="12">
        <v>92.92</v>
      </c>
      <c r="E95" s="12">
        <v>1</v>
      </c>
      <c r="F95" s="12">
        <v>92.94</v>
      </c>
      <c r="G95" s="12">
        <v>0.01</v>
      </c>
      <c r="H95" s="12">
        <v>92.91</v>
      </c>
      <c r="I95" s="12">
        <v>0.01</v>
      </c>
      <c r="J95" s="12">
        <v>92.95</v>
      </c>
      <c r="K95" s="12">
        <v>0.01</v>
      </c>
      <c r="L95" s="12">
        <v>92.9</v>
      </c>
      <c r="M95" s="12">
        <v>0.01</v>
      </c>
      <c r="N95" s="12">
        <v>92.96</v>
      </c>
      <c r="O95" s="12">
        <v>0.01</v>
      </c>
      <c r="P95" s="12">
        <v>92.89</v>
      </c>
      <c r="Q95" s="12">
        <v>0.01</v>
      </c>
      <c r="R95" s="12">
        <v>92.97</v>
      </c>
      <c r="S95" s="12">
        <v>0.01</v>
      </c>
      <c r="T95" s="12">
        <v>92.88</v>
      </c>
      <c r="U95" s="12">
        <v>0.01</v>
      </c>
      <c r="V95" s="12">
        <v>92.98</v>
      </c>
      <c r="W95" s="12">
        <v>0.01</v>
      </c>
      <c r="X95" s="12">
        <v>92.87</v>
      </c>
      <c r="Y95" s="12">
        <v>0.01</v>
      </c>
      <c r="Z95" s="12">
        <v>92.99</v>
      </c>
      <c r="AC95" s="12">
        <v>0.01</v>
      </c>
      <c r="AD95" s="12">
        <v>93</v>
      </c>
      <c r="AG95" s="12">
        <v>0.01</v>
      </c>
      <c r="AH95" s="12">
        <v>93.01</v>
      </c>
      <c r="AK95" s="12">
        <v>0.01</v>
      </c>
      <c r="AL95" s="12">
        <v>93.02</v>
      </c>
      <c r="AO95" s="12">
        <v>0.01</v>
      </c>
      <c r="AP95" s="12">
        <v>93.03</v>
      </c>
    </row>
    <row r="96" spans="1:42" x14ac:dyDescent="0.25">
      <c r="A96" s="12" t="s">
        <v>136</v>
      </c>
      <c r="B96" s="12" t="s">
        <v>152</v>
      </c>
      <c r="C96" s="12">
        <v>1</v>
      </c>
      <c r="D96" s="12">
        <v>93.89</v>
      </c>
      <c r="E96" s="12">
        <v>1</v>
      </c>
      <c r="F96" s="12">
        <v>93.91</v>
      </c>
      <c r="G96" s="12">
        <v>0.01</v>
      </c>
      <c r="H96" s="12">
        <v>93.88</v>
      </c>
      <c r="I96" s="12">
        <v>0.01</v>
      </c>
      <c r="J96" s="12">
        <v>93.92</v>
      </c>
      <c r="M96" s="12">
        <v>0.01</v>
      </c>
      <c r="N96" s="12">
        <v>93.93</v>
      </c>
      <c r="Q96" s="12">
        <v>0.01</v>
      </c>
      <c r="R96" s="12">
        <v>93.94</v>
      </c>
      <c r="U96" s="12">
        <v>0.01</v>
      </c>
      <c r="V96" s="12">
        <v>93.95</v>
      </c>
      <c r="Y96" s="12">
        <v>0.01</v>
      </c>
      <c r="Z96" s="12">
        <v>93.96</v>
      </c>
    </row>
    <row r="97" spans="1:34" x14ac:dyDescent="0.25">
      <c r="A97" s="12" t="s">
        <v>137</v>
      </c>
      <c r="B97" s="12" t="s">
        <v>171</v>
      </c>
      <c r="C97" s="12">
        <v>1</v>
      </c>
      <c r="D97" s="12">
        <v>94.92</v>
      </c>
      <c r="E97" s="12">
        <v>1</v>
      </c>
      <c r="F97" s="12">
        <v>94.94</v>
      </c>
      <c r="G97" s="12">
        <v>0.01</v>
      </c>
      <c r="H97" s="12">
        <v>94.91</v>
      </c>
      <c r="I97" s="12">
        <v>0.01</v>
      </c>
      <c r="J97" s="12">
        <v>94.95</v>
      </c>
      <c r="K97" s="12">
        <v>0.01</v>
      </c>
      <c r="L97" s="12">
        <v>94.9</v>
      </c>
      <c r="M97" s="12">
        <v>0.01</v>
      </c>
      <c r="N97" s="12">
        <v>94.96</v>
      </c>
      <c r="O97" s="12">
        <v>0.01</v>
      </c>
      <c r="P97" s="12">
        <v>94.89</v>
      </c>
      <c r="Q97" s="12">
        <v>0.01</v>
      </c>
      <c r="R97" s="12">
        <v>94.97</v>
      </c>
      <c r="S97" s="12">
        <v>0.01</v>
      </c>
      <c r="T97" s="12">
        <v>94.88</v>
      </c>
      <c r="W97" s="12">
        <v>0.01</v>
      </c>
      <c r="X97" s="12">
        <v>94.87</v>
      </c>
    </row>
    <row r="98" spans="1:34" x14ac:dyDescent="0.25">
      <c r="A98" s="12" t="s">
        <v>138</v>
      </c>
      <c r="B98" s="12" t="s">
        <v>171</v>
      </c>
      <c r="C98" s="12">
        <v>1</v>
      </c>
      <c r="D98" s="12">
        <v>95.92</v>
      </c>
      <c r="E98" s="12">
        <v>1</v>
      </c>
      <c r="F98" s="12">
        <v>95.94</v>
      </c>
      <c r="G98" s="12">
        <v>0.01</v>
      </c>
      <c r="H98" s="12">
        <v>95.91</v>
      </c>
      <c r="I98" s="12">
        <v>0.01</v>
      </c>
      <c r="J98" s="12">
        <v>95.95</v>
      </c>
      <c r="M98" s="12">
        <v>0.01</v>
      </c>
      <c r="N98" s="12">
        <v>95.96</v>
      </c>
      <c r="Q98" s="12">
        <v>0.01</v>
      </c>
      <c r="R98" s="12">
        <v>95.97</v>
      </c>
      <c r="U98" s="12">
        <v>0.01</v>
      </c>
      <c r="V98" s="12">
        <v>95.98</v>
      </c>
      <c r="Y98" s="12">
        <v>0.01</v>
      </c>
      <c r="Z98" s="12">
        <v>95.99</v>
      </c>
      <c r="AC98" s="12">
        <v>0.01</v>
      </c>
      <c r="AD98" s="12">
        <v>96</v>
      </c>
      <c r="AG98" s="12">
        <v>0.01</v>
      </c>
      <c r="AH98" s="12">
        <v>96.01</v>
      </c>
    </row>
    <row r="99" spans="1:34" x14ac:dyDescent="0.25">
      <c r="A99" s="12" t="s">
        <v>139</v>
      </c>
      <c r="B99" s="12" t="s">
        <v>171</v>
      </c>
      <c r="C99" s="12">
        <v>1</v>
      </c>
      <c r="D99" s="12">
        <v>96.92</v>
      </c>
      <c r="E99" s="12">
        <v>1</v>
      </c>
      <c r="F99" s="12">
        <v>96.94</v>
      </c>
      <c r="G99" s="12">
        <v>0.01</v>
      </c>
      <c r="H99" s="12">
        <v>96.91</v>
      </c>
      <c r="I99" s="12">
        <v>0.01</v>
      </c>
      <c r="J99" s="12">
        <v>96.95</v>
      </c>
      <c r="K99" s="12">
        <v>0.01</v>
      </c>
      <c r="L99" s="12">
        <v>96.9</v>
      </c>
      <c r="M99" s="12">
        <v>0.01</v>
      </c>
      <c r="N99" s="12">
        <v>96.96</v>
      </c>
      <c r="O99" s="12">
        <v>0.01</v>
      </c>
      <c r="P99" s="12">
        <v>96.89</v>
      </c>
      <c r="Q99" s="12">
        <v>0.01</v>
      </c>
      <c r="R99" s="12">
        <v>96.97</v>
      </c>
      <c r="S99" s="12">
        <v>0.01</v>
      </c>
      <c r="T99" s="12">
        <v>96.88</v>
      </c>
      <c r="W99" s="12">
        <v>0.01</v>
      </c>
      <c r="X99" s="12">
        <v>96.87</v>
      </c>
      <c r="AA99" s="12">
        <v>0.01</v>
      </c>
      <c r="AB99" s="12">
        <v>96.86</v>
      </c>
      <c r="AE99" s="12">
        <v>0.01</v>
      </c>
      <c r="AF99" s="12">
        <v>96.85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2014-08-22T18:55:57.706Z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1.89</v>
      </c>
      <c r="F4" s="19">
        <f ca="1">INDIRECT("MarketData!f"&amp;C1)</f>
        <v>1.91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1.88</v>
      </c>
      <c r="F5" s="19">
        <f ca="1">INDIRECT("MarketData!j"&amp;C1)</f>
        <v>1.92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1.93</v>
      </c>
      <c r="G6" s="18">
        <f ca="1">INDIRECT("MarketData!m"&amp;C1)</f>
        <v>0.01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1.94</v>
      </c>
      <c r="G7" s="18">
        <f ca="1">INDIRECT("MarketData!q"&amp;C1)</f>
        <v>0.01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1.95</v>
      </c>
      <c r="G8" s="18">
        <f ca="1">INDIRECT("MarketData!u"&amp;$C$1)</f>
        <v>0.01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1.96</v>
      </c>
      <c r="G9" s="18">
        <f ca="1">INDIRECT("MarketData!y"&amp;$C$1)</f>
        <v>0.01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1.97</v>
      </c>
      <c r="G10" s="18">
        <f ca="1">INDIRECT("MarketData!ac"&amp;$C$1)</f>
        <v>0.01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1.98</v>
      </c>
      <c r="G11" s="18">
        <f ca="1">INDIRECT("MarketData!ag"&amp;$C$1)</f>
        <v>0.01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41876.3753125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0.92</v>
      </c>
      <c r="E4" s="1">
        <f>IF(ISBLANK(MarketData!E2),"",MarketData!E2)</f>
        <v>1</v>
      </c>
      <c r="F4" s="1">
        <f>IF(ISBLANK(MarketData!F2),"",MarketData!F2)</f>
        <v>0.94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0.96</v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1.89</v>
      </c>
      <c r="E5" s="1">
        <f>IF(ISBLANK(MarketData!E3),"",MarketData!E3)</f>
        <v>1</v>
      </c>
      <c r="F5" s="1">
        <f>IF(ISBLANK(MarketData!F3),"",MarketData!F3)</f>
        <v>1.91</v>
      </c>
      <c r="G5" s="1">
        <f>IF(ISBLANK(MarketData!G3),"",MarketData!G3)</f>
        <v>0.01</v>
      </c>
      <c r="H5" s="1">
        <f>IF(ISBLANK(MarketData!H3),"",MarketData!H3)</f>
        <v>1.88</v>
      </c>
      <c r="I5" s="1">
        <f>IF(ISBLANK(MarketData!I3),"",MarketData!I3)</f>
        <v>0.01</v>
      </c>
      <c r="J5" s="1">
        <f>IF(ISBLANK(MarketData!J3),"",MarketData!J3)</f>
        <v>1.92</v>
      </c>
      <c r="K5" s="1" t="str">
        <f>IF(ISBLANK(MarketData!K3),"",MarketData!K3)</f>
        <v/>
      </c>
      <c r="L5" s="1" t="str">
        <f>IF(ISBLANK(MarketData!L3),"",MarketData!L3)</f>
        <v/>
      </c>
      <c r="M5" s="1">
        <f>IF(ISBLANK(MarketData!M3),"",MarketData!M3)</f>
        <v>0.01</v>
      </c>
      <c r="N5" s="1">
        <f>IF(ISBLANK(MarketData!N3),"",MarketData!N3)</f>
        <v>1.93</v>
      </c>
      <c r="O5" s="1" t="str">
        <f>IF(ISBLANK(MarketData!O3),"",MarketData!O3)</f>
        <v/>
      </c>
      <c r="P5" s="1" t="str">
        <f>IF(ISBLANK(MarketData!P3),"",MarketData!P3)</f>
        <v/>
      </c>
      <c r="Q5" s="1">
        <f>IF(ISBLANK(MarketData!Q3),"",MarketData!Q3)</f>
        <v>0.01</v>
      </c>
      <c r="R5" s="1">
        <f>IF(ISBLANK(MarketData!R3),"",MarketData!R3)</f>
        <v>1.94</v>
      </c>
      <c r="S5" s="1" t="str">
        <f>IF(ISBLANK(MarketData!S3),"",MarketData!S3)</f>
        <v/>
      </c>
      <c r="T5" s="1" t="str">
        <f>IF(ISBLANK(MarketData!T3),"",MarketData!T3)</f>
        <v/>
      </c>
      <c r="U5" s="1">
        <f>IF(ISBLANK(MarketData!U3),"",MarketData!U3)</f>
        <v>0.01</v>
      </c>
      <c r="V5" s="1">
        <f>IF(ISBLANK(MarketData!V3),"",MarketData!V3)</f>
        <v>1.95</v>
      </c>
      <c r="W5" s="1" t="str">
        <f>IF(ISBLANK(MarketData!W3),"",MarketData!W3)</f>
        <v/>
      </c>
      <c r="X5" s="1" t="str">
        <f>IF(ISBLANK(MarketData!X3),"",MarketData!X3)</f>
        <v/>
      </c>
      <c r="Y5" s="1">
        <f>IF(ISBLANK(MarketData!Y3),"",MarketData!Y3)</f>
        <v>0.01</v>
      </c>
      <c r="Z5" s="1">
        <f>IF(ISBLANK(MarketData!Z3),"",MarketData!Z3)</f>
        <v>1.96</v>
      </c>
      <c r="AA5" s="1" t="str">
        <f>IF(ISBLANK(MarketData!AA3),"",MarketData!AA3)</f>
        <v/>
      </c>
      <c r="AB5" s="1" t="str">
        <f>IF(ISBLANK(MarketData!AB3),"",MarketData!AB3)</f>
        <v/>
      </c>
      <c r="AC5" s="1">
        <f>IF(ISBLANK(MarketData!AC3),"",MarketData!AC3)</f>
        <v>0.01</v>
      </c>
      <c r="AD5" s="1">
        <f>IF(ISBLANK(MarketData!AD3),"",MarketData!AD3)</f>
        <v>1.97</v>
      </c>
      <c r="AE5" s="1" t="str">
        <f>IF(ISBLANK(MarketData!AE3),"",MarketData!AE3)</f>
        <v/>
      </c>
      <c r="AF5" s="1" t="str">
        <f>IF(ISBLANK(MarketData!AF3),"",MarketData!AF3)</f>
        <v/>
      </c>
      <c r="AG5" s="1">
        <f>IF(ISBLANK(MarketData!AG3),"",MarketData!AG3)</f>
        <v>0.01</v>
      </c>
      <c r="AH5" s="1">
        <f>IF(ISBLANK(MarketData!AH3),"",MarketData!AH3)</f>
        <v>1.98</v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2.92</v>
      </c>
      <c r="E6" s="1">
        <f>IF(ISBLANK(MarketData!E4),"",MarketData!E4)</f>
        <v>1</v>
      </c>
      <c r="F6" s="1">
        <f>IF(ISBLANK(MarketData!F4),"",MarketData!F4)</f>
        <v>2.94</v>
      </c>
      <c r="G6" s="1">
        <f>IF(ISBLANK(MarketData!G4),"",MarketData!G4)</f>
        <v>0.01</v>
      </c>
      <c r="H6" s="1">
        <f>IF(ISBLANK(MarketData!H4),"",MarketData!H4)</f>
        <v>2.91</v>
      </c>
      <c r="I6" s="1">
        <f>IF(ISBLANK(MarketData!I4),"",MarketData!I4)</f>
        <v>0.01</v>
      </c>
      <c r="J6" s="1">
        <f>IF(ISBLANK(MarketData!J4),"",MarketData!J4)</f>
        <v>2.95</v>
      </c>
      <c r="K6" s="1">
        <f>IF(ISBLANK(MarketData!K4),"",MarketData!K4)</f>
        <v>0.01</v>
      </c>
      <c r="L6" s="1">
        <f>IF(ISBLANK(MarketData!L4),"",MarketData!L4)</f>
        <v>2.9</v>
      </c>
      <c r="M6" s="1">
        <f>IF(ISBLANK(MarketData!M4),"",MarketData!M4)</f>
        <v>0.01</v>
      </c>
      <c r="N6" s="1">
        <f>IF(ISBLANK(MarketData!N4),"",MarketData!N4)</f>
        <v>2.96</v>
      </c>
      <c r="O6" s="1">
        <f>IF(ISBLANK(MarketData!O4),"",MarketData!O4)</f>
        <v>0.01</v>
      </c>
      <c r="P6" s="1">
        <f>IF(ISBLANK(MarketData!P4),"",MarketData!P4)</f>
        <v>2.89</v>
      </c>
      <c r="Q6" s="1">
        <f>IF(ISBLANK(MarketData!Q4),"",MarketData!Q4)</f>
        <v>0.01</v>
      </c>
      <c r="R6" s="1">
        <f>IF(ISBLANK(MarketData!R4),"",MarketData!R4)</f>
        <v>2.97</v>
      </c>
      <c r="S6" s="1">
        <f>IF(ISBLANK(MarketData!S4),"",MarketData!S4)</f>
        <v>0.01</v>
      </c>
      <c r="T6" s="1">
        <f>IF(ISBLANK(MarketData!T4),"",MarketData!T4)</f>
        <v>2.88</v>
      </c>
      <c r="U6" s="1">
        <f>IF(ISBLANK(MarketData!U4),"",MarketData!U4)</f>
        <v>0.01</v>
      </c>
      <c r="V6" s="1">
        <f>IF(ISBLANK(MarketData!V4),"",MarketData!V4)</f>
        <v>2.98</v>
      </c>
      <c r="W6" s="1" t="str">
        <f>IF(ISBLANK(MarketData!W4),"",MarketData!W4)</f>
        <v/>
      </c>
      <c r="X6" s="1" t="str">
        <f>IF(ISBLANK(MarketData!X4),"",MarketData!X4)</f>
        <v/>
      </c>
      <c r="Y6" s="1">
        <f>IF(ISBLANK(MarketData!Y4),"",MarketData!Y4)</f>
        <v>0.01</v>
      </c>
      <c r="Z6" s="1">
        <f>IF(ISBLANK(MarketData!Z4),"",MarketData!Z4)</f>
        <v>2.99</v>
      </c>
      <c r="AA6" s="1" t="str">
        <f>IF(ISBLANK(MarketData!AA4),"",MarketData!AA4)</f>
        <v/>
      </c>
      <c r="AB6" s="1" t="str">
        <f>IF(ISBLANK(MarketData!AB4),"",MarketData!AB4)</f>
        <v/>
      </c>
      <c r="AC6" s="1">
        <f>IF(ISBLANK(MarketData!AC4),"",MarketData!AC4)</f>
        <v>0.01</v>
      </c>
      <c r="AD6" s="1">
        <f>IF(ISBLANK(MarketData!AD4),"",MarketData!AD4)</f>
        <v>3</v>
      </c>
      <c r="AE6" s="1" t="str">
        <f>IF(ISBLANK(MarketData!AE4),"",MarketData!AE4)</f>
        <v/>
      </c>
      <c r="AF6" s="1" t="str">
        <f>IF(ISBLANK(MarketData!AF4),"",MarketData!AF4)</f>
        <v/>
      </c>
      <c r="AG6" s="1">
        <f>IF(ISBLANK(MarketData!AG4),"",MarketData!AG4)</f>
        <v>0.01</v>
      </c>
      <c r="AH6" s="1">
        <f>IF(ISBLANK(MarketData!AH4),"",MarketData!AH4)</f>
        <v>3.01</v>
      </c>
      <c r="AI6" s="1" t="str">
        <f>IF(ISBLANK(MarketData!AI4),"",MarketData!AI4)</f>
        <v/>
      </c>
      <c r="AJ6" s="1" t="str">
        <f>IF(ISBLANK(MarketData!AJ4),"",MarketData!AJ4)</f>
        <v/>
      </c>
      <c r="AK6" s="1">
        <f>IF(ISBLANK(MarketData!AK4),"",MarketData!AK4)</f>
        <v>0.01</v>
      </c>
      <c r="AL6" s="1">
        <f>IF(ISBLANK(MarketData!AL4),"",MarketData!AL4)</f>
        <v>3.02</v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3.89</v>
      </c>
      <c r="E7" s="1">
        <f>IF(ISBLANK(MarketData!E5),"",MarketData!E5)</f>
        <v>1</v>
      </c>
      <c r="F7" s="1">
        <f>IF(ISBLANK(MarketData!F5),"",MarketData!F5)</f>
        <v>3.91</v>
      </c>
      <c r="G7" s="1">
        <f>IF(ISBLANK(MarketData!G5),"",MarketData!G5)</f>
        <v>0.01</v>
      </c>
      <c r="H7" s="1">
        <f>IF(ISBLANK(MarketData!H5),"",MarketData!H5)</f>
        <v>3.88</v>
      </c>
      <c r="I7" s="1">
        <f>IF(ISBLANK(MarketData!I5),"",MarketData!I5)</f>
        <v>0.01</v>
      </c>
      <c r="J7" s="1">
        <f>IF(ISBLANK(MarketData!J5),"",MarketData!J5)</f>
        <v>3.92</v>
      </c>
      <c r="K7" s="1">
        <f>IF(ISBLANK(MarketData!K5),"",MarketData!K5)</f>
        <v>0.01</v>
      </c>
      <c r="L7" s="1">
        <f>IF(ISBLANK(MarketData!L5),"",MarketData!L5)</f>
        <v>3.87</v>
      </c>
      <c r="M7" s="1">
        <f>IF(ISBLANK(MarketData!M5),"",MarketData!M5)</f>
        <v>0.01</v>
      </c>
      <c r="N7" s="1">
        <f>IF(ISBLANK(MarketData!N5),"",MarketData!N5)</f>
        <v>3.93</v>
      </c>
      <c r="O7" s="1" t="str">
        <f>IF(ISBLANK(MarketData!O5),"",MarketData!O5)</f>
        <v/>
      </c>
      <c r="P7" s="1" t="str">
        <f>IF(ISBLANK(MarketData!P5),"",MarketData!P5)</f>
        <v/>
      </c>
      <c r="Q7" s="1">
        <f>IF(ISBLANK(MarketData!Q5),"",MarketData!Q5)</f>
        <v>0.01</v>
      </c>
      <c r="R7" s="1">
        <f>IF(ISBLANK(MarketData!R5),"",MarketData!R5)</f>
        <v>3.94</v>
      </c>
      <c r="S7" s="1" t="str">
        <f>IF(ISBLANK(MarketData!S5),"",MarketData!S5)</f>
        <v/>
      </c>
      <c r="T7" s="1" t="str">
        <f>IF(ISBLANK(MarketData!T5),"",MarketData!T5)</f>
        <v/>
      </c>
      <c r="U7" s="1">
        <f>IF(ISBLANK(MarketData!U5),"",MarketData!U5)</f>
        <v>0.01</v>
      </c>
      <c r="V7" s="1">
        <f>IF(ISBLANK(MarketData!V5),"",MarketData!V5)</f>
        <v>3.95</v>
      </c>
      <c r="W7" s="1" t="str">
        <f>IF(ISBLANK(MarketData!W5),"",MarketData!W5)</f>
        <v/>
      </c>
      <c r="X7" s="1" t="str">
        <f>IF(ISBLANK(MarketData!X5),"",MarketData!X5)</f>
        <v/>
      </c>
      <c r="Y7" s="1">
        <f>IF(ISBLANK(MarketData!Y5),"",MarketData!Y5)</f>
        <v>0.01</v>
      </c>
      <c r="Z7" s="1">
        <f>IF(ISBLANK(MarketData!Z5),"",MarketData!Z5)</f>
        <v>3.96</v>
      </c>
      <c r="AA7" s="1" t="str">
        <f>IF(ISBLANK(MarketData!AA5),"",MarketData!AA5)</f>
        <v/>
      </c>
      <c r="AB7" s="1" t="str">
        <f>IF(ISBLANK(MarketData!AB5),"",MarketData!AB5)</f>
        <v/>
      </c>
      <c r="AC7" s="1">
        <f>IF(ISBLANK(MarketData!AC5),"",MarketData!AC5)</f>
        <v>0.01</v>
      </c>
      <c r="AD7" s="1">
        <f>IF(ISBLANK(MarketData!AD5),"",MarketData!AD5)</f>
        <v>3.97</v>
      </c>
      <c r="AE7" s="1" t="str">
        <f>IF(ISBLANK(MarketData!AE5),"",MarketData!AE5)</f>
        <v/>
      </c>
      <c r="AF7" s="1" t="str">
        <f>IF(ISBLANK(MarketData!AF5),"",MarketData!AF5)</f>
        <v/>
      </c>
      <c r="AG7" s="1">
        <f>IF(ISBLANK(MarketData!AG5),"",MarketData!AG5)</f>
        <v>0.01</v>
      </c>
      <c r="AH7" s="1">
        <f>IF(ISBLANK(MarketData!AH5),"",MarketData!AH5)</f>
        <v>3.98</v>
      </c>
      <c r="AI7" s="1" t="str">
        <f>IF(ISBLANK(MarketData!AI5),"",MarketData!AI5)</f>
        <v/>
      </c>
      <c r="AJ7" s="1" t="str">
        <f>IF(ISBLANK(MarketData!AJ5),"",MarketData!AJ5)</f>
        <v/>
      </c>
      <c r="AK7" s="1">
        <f>IF(ISBLANK(MarketData!AK5),"",MarketData!AK5)</f>
        <v>0.01</v>
      </c>
      <c r="AL7" s="1">
        <f>IF(ISBLANK(MarketData!AL5),"",MarketData!AL5)</f>
        <v>3.99</v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4.92</v>
      </c>
      <c r="E8" s="1">
        <f>IF(ISBLANK(MarketData!E6),"",MarketData!E6)</f>
        <v>1</v>
      </c>
      <c r="F8" s="1">
        <f>IF(ISBLANK(MarketData!F6),"",MarketData!F6)</f>
        <v>4.9400000000000004</v>
      </c>
      <c r="G8" s="1">
        <f>IF(ISBLANK(MarketData!G6),"",MarketData!G6)</f>
        <v>0.01</v>
      </c>
      <c r="H8" s="1">
        <f>IF(ISBLANK(MarketData!H6),"",MarketData!H6)</f>
        <v>4.91</v>
      </c>
      <c r="I8" s="1">
        <f>IF(ISBLANK(MarketData!I6),"",MarketData!I6)</f>
        <v>0.01</v>
      </c>
      <c r="J8" s="1">
        <f>IF(ISBLANK(MarketData!J6),"",MarketData!J6)</f>
        <v>4.95</v>
      </c>
      <c r="K8" s="1">
        <f>IF(ISBLANK(MarketData!K6),"",MarketData!K6)</f>
        <v>0.01</v>
      </c>
      <c r="L8" s="1">
        <f>IF(ISBLANK(MarketData!L6),"",MarketData!L6)</f>
        <v>4.9000000000000004</v>
      </c>
      <c r="M8" s="1">
        <f>IF(ISBLANK(MarketData!M6),"",MarketData!M6)</f>
        <v>0.01</v>
      </c>
      <c r="N8" s="1">
        <f>IF(ISBLANK(MarketData!N6),"",MarketData!N6)</f>
        <v>4.96</v>
      </c>
      <c r="O8" s="1">
        <f>IF(ISBLANK(MarketData!O6),"",MarketData!O6)</f>
        <v>0.01</v>
      </c>
      <c r="P8" s="1">
        <f>IF(ISBLANK(MarketData!P6),"",MarketData!P6)</f>
        <v>4.8899999999999997</v>
      </c>
      <c r="Q8" s="1">
        <f>IF(ISBLANK(MarketData!Q6),"",MarketData!Q6)</f>
        <v>0.01</v>
      </c>
      <c r="R8" s="1">
        <f>IF(ISBLANK(MarketData!R6),"",MarketData!R6)</f>
        <v>4.97</v>
      </c>
      <c r="S8" s="1">
        <f>IF(ISBLANK(MarketData!S6),"",MarketData!S6)</f>
        <v>0.01</v>
      </c>
      <c r="T8" s="1">
        <f>IF(ISBLANK(MarketData!T6),"",MarketData!T6)</f>
        <v>4.88</v>
      </c>
      <c r="U8" s="1">
        <f>IF(ISBLANK(MarketData!U6),"",MarketData!U6)</f>
        <v>0.01</v>
      </c>
      <c r="V8" s="1">
        <f>IF(ISBLANK(MarketData!V6),"",MarketData!V6)</f>
        <v>4.9800000000000004</v>
      </c>
      <c r="W8" s="1">
        <f>IF(ISBLANK(MarketData!W6),"",MarketData!W6)</f>
        <v>0.01</v>
      </c>
      <c r="X8" s="1">
        <f>IF(ISBLANK(MarketData!X6),"",MarketData!X6)</f>
        <v>4.87</v>
      </c>
      <c r="Y8" s="1">
        <f>IF(ISBLANK(MarketData!Y6),"",MarketData!Y6)</f>
        <v>0.01</v>
      </c>
      <c r="Z8" s="1">
        <f>IF(ISBLANK(MarketData!Z6),"",MarketData!Z6)</f>
        <v>4.99</v>
      </c>
      <c r="AA8" s="1">
        <f>IF(ISBLANK(MarketData!AA6),"",MarketData!AA6)</f>
        <v>0.01</v>
      </c>
      <c r="AB8" s="1">
        <f>IF(ISBLANK(MarketData!AB6),"",MarketData!AB6)</f>
        <v>4.8600000000000003</v>
      </c>
      <c r="AC8" s="1">
        <f>IF(ISBLANK(MarketData!AC6),"",MarketData!AC6)</f>
        <v>0.01</v>
      </c>
      <c r="AD8" s="1">
        <f>IF(ISBLANK(MarketData!AD6),"",MarketData!AD6)</f>
        <v>5</v>
      </c>
      <c r="AE8" s="1">
        <f>IF(ISBLANK(MarketData!AE6),"",MarketData!AE6)</f>
        <v>0.01</v>
      </c>
      <c r="AF8" s="1">
        <f>IF(ISBLANK(MarketData!AF6),"",MarketData!AF6)</f>
        <v>4.8499999999999996</v>
      </c>
      <c r="AG8" s="1">
        <f>IF(ISBLANK(MarketData!AG6),"",MarketData!AG6)</f>
        <v>0.01</v>
      </c>
      <c r="AH8" s="1">
        <f>IF(ISBLANK(MarketData!AH6),"",MarketData!AH6)</f>
        <v>5.01</v>
      </c>
      <c r="AI8" s="1">
        <f>IF(ISBLANK(MarketData!AI6),"",MarketData!AI6)</f>
        <v>0.01</v>
      </c>
      <c r="AJ8" s="1">
        <f>IF(ISBLANK(MarketData!AJ6),"",MarketData!AJ6)</f>
        <v>4.84</v>
      </c>
      <c r="AK8" s="1">
        <f>IF(ISBLANK(MarketData!AK6),"",MarketData!AK6)</f>
        <v>0.01</v>
      </c>
      <c r="AL8" s="1">
        <f>IF(ISBLANK(MarketData!AL6),"",MarketData!AL6)</f>
        <v>5.0199999999999996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>
        <f>IF(ISBLANK(MarketData!AO6),"",MarketData!AO6)</f>
        <v>0.01</v>
      </c>
      <c r="AP8" s="1">
        <f>IF(ISBLANK(MarketData!AP6),"",MarketData!AP6)</f>
        <v>5.03</v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5.89</v>
      </c>
      <c r="E9" s="1">
        <f>IF(ISBLANK(MarketData!E7),"",MarketData!E7)</f>
        <v>1</v>
      </c>
      <c r="F9" s="1">
        <f>IF(ISBLANK(MarketData!F7),"",MarketData!F7)</f>
        <v>5.91</v>
      </c>
      <c r="G9" s="1">
        <f>IF(ISBLANK(MarketData!G7),"",MarketData!G7)</f>
        <v>0.01</v>
      </c>
      <c r="H9" s="1">
        <f>IF(ISBLANK(MarketData!H7),"",MarketData!H7)</f>
        <v>5.88</v>
      </c>
      <c r="I9" s="1">
        <f>IF(ISBLANK(MarketData!I7),"",MarketData!I7)</f>
        <v>0.01</v>
      </c>
      <c r="J9" s="1">
        <f>IF(ISBLANK(MarketData!J7),"",MarketData!J7)</f>
        <v>5.92</v>
      </c>
      <c r="K9" s="1">
        <f>IF(ISBLANK(MarketData!K7),"",MarketData!K7)</f>
        <v>0.01</v>
      </c>
      <c r="L9" s="1">
        <f>IF(ISBLANK(MarketData!L7),"",MarketData!L7)</f>
        <v>5.87</v>
      </c>
      <c r="M9" s="1">
        <f>IF(ISBLANK(MarketData!M7),"",MarketData!M7)</f>
        <v>0.01</v>
      </c>
      <c r="N9" s="1">
        <f>IF(ISBLANK(MarketData!N7),"",MarketData!N7)</f>
        <v>5.93</v>
      </c>
      <c r="O9" s="1">
        <f>IF(ISBLANK(MarketData!O7),"",MarketData!O7)</f>
        <v>0.01</v>
      </c>
      <c r="P9" s="1">
        <f>IF(ISBLANK(MarketData!P7),"",MarketData!P7)</f>
        <v>5.86</v>
      </c>
      <c r="Q9" s="1">
        <f>IF(ISBLANK(MarketData!Q7),"",MarketData!Q7)</f>
        <v>0.01</v>
      </c>
      <c r="R9" s="1">
        <f>IF(ISBLANK(MarketData!R7),"",MarketData!R7)</f>
        <v>5.94</v>
      </c>
      <c r="S9" s="1">
        <f>IF(ISBLANK(MarketData!S7),"",MarketData!S7)</f>
        <v>0.01</v>
      </c>
      <c r="T9" s="1">
        <f>IF(ISBLANK(MarketData!T7),"",MarketData!T7)</f>
        <v>5.85</v>
      </c>
      <c r="U9" s="1" t="str">
        <f>IF(ISBLANK(MarketData!U7),"",MarketData!U7)</f>
        <v/>
      </c>
      <c r="V9" s="1" t="str">
        <f>IF(ISBLANK(MarketData!V7),"",MarketData!V7)</f>
        <v/>
      </c>
      <c r="W9" s="1">
        <f>IF(ISBLANK(MarketData!W7),"",MarketData!W7)</f>
        <v>0.01</v>
      </c>
      <c r="X9" s="1">
        <f>IF(ISBLANK(MarketData!X7),"",MarketData!X7)</f>
        <v>5.84</v>
      </c>
      <c r="Y9" s="1" t="str">
        <f>IF(ISBLANK(MarketData!Y7),"",MarketData!Y7)</f>
        <v/>
      </c>
      <c r="Z9" s="1" t="str">
        <f>IF(ISBLANK(MarketData!Z7),"",MarketData!Z7)</f>
        <v/>
      </c>
      <c r="AA9" s="1">
        <f>IF(ISBLANK(MarketData!AA7),"",MarketData!AA7)</f>
        <v>0.01</v>
      </c>
      <c r="AB9" s="1">
        <f>IF(ISBLANK(MarketData!AB7),"",MarketData!AB7)</f>
        <v>5.83</v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6.89</v>
      </c>
      <c r="E10" s="1">
        <f>IF(ISBLANK(MarketData!E8),"",MarketData!E8)</f>
        <v>1</v>
      </c>
      <c r="F10" s="1">
        <f>IF(ISBLANK(MarketData!F8),"",MarketData!F8)</f>
        <v>6.91</v>
      </c>
      <c r="G10" s="1" t="str">
        <f>IF(ISBLANK(MarketData!G8),"",MarketData!G8)</f>
        <v/>
      </c>
      <c r="H10" s="1" t="str">
        <f>IF(ISBLANK(MarketData!H8),"",MarketData!H8)</f>
        <v/>
      </c>
      <c r="I10" s="1">
        <f>IF(ISBLANK(MarketData!I8),"",MarketData!I8)</f>
        <v>0.01</v>
      </c>
      <c r="J10" s="1">
        <f>IF(ISBLANK(MarketData!J8),"",MarketData!J8)</f>
        <v>6.92</v>
      </c>
      <c r="K10" s="1" t="str">
        <f>IF(ISBLANK(MarketData!K8),"",MarketData!K8)</f>
        <v/>
      </c>
      <c r="L10" s="1" t="str">
        <f>IF(ISBLANK(MarketData!L8),"",MarketData!L8)</f>
        <v/>
      </c>
      <c r="M10" s="1">
        <f>IF(ISBLANK(MarketData!M8),"",MarketData!M8)</f>
        <v>0.01</v>
      </c>
      <c r="N10" s="1">
        <f>IF(ISBLANK(MarketData!N8),"",MarketData!N8)</f>
        <v>6.93</v>
      </c>
      <c r="O10" s="1" t="str">
        <f>IF(ISBLANK(MarketData!O8),"",MarketData!O8)</f>
        <v/>
      </c>
      <c r="P10" s="1" t="str">
        <f>IF(ISBLANK(MarketData!P8),"",MarketData!P8)</f>
        <v/>
      </c>
      <c r="Q10" s="1">
        <f>IF(ISBLANK(MarketData!Q8),"",MarketData!Q8)</f>
        <v>0.01</v>
      </c>
      <c r="R10" s="1">
        <f>IF(ISBLANK(MarketData!R8),"",MarketData!R8)</f>
        <v>6.94</v>
      </c>
      <c r="S10" s="1" t="str">
        <f>IF(ISBLANK(MarketData!S8),"",MarketData!S8)</f>
        <v/>
      </c>
      <c r="T10" s="1" t="str">
        <f>IF(ISBLANK(MarketData!T8),"",MarketData!T8)</f>
        <v/>
      </c>
      <c r="U10" s="1">
        <f>IF(ISBLANK(MarketData!U8),"",MarketData!U8)</f>
        <v>0.01</v>
      </c>
      <c r="V10" s="1">
        <f>IF(ISBLANK(MarketData!V8),"",MarketData!V8)</f>
        <v>6.95</v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7.92</v>
      </c>
      <c r="E11" s="1">
        <f>IF(ISBLANK(MarketData!E9),"",MarketData!E9)</f>
        <v>1</v>
      </c>
      <c r="F11" s="1">
        <f>IF(ISBLANK(MarketData!F9),"",MarketData!F9)</f>
        <v>7.94</v>
      </c>
      <c r="G11" s="1">
        <f>IF(ISBLANK(MarketData!G9),"",MarketData!G9)</f>
        <v>0.01</v>
      </c>
      <c r="H11" s="1">
        <f>IF(ISBLANK(MarketData!H9),"",MarketData!H9)</f>
        <v>7.91</v>
      </c>
      <c r="I11" s="1">
        <f>IF(ISBLANK(MarketData!I9),"",MarketData!I9)</f>
        <v>0.01</v>
      </c>
      <c r="J11" s="1">
        <f>IF(ISBLANK(MarketData!J9),"",MarketData!J9)</f>
        <v>7.95</v>
      </c>
      <c r="K11" s="1">
        <f>IF(ISBLANK(MarketData!K9),"",MarketData!K9)</f>
        <v>0.01</v>
      </c>
      <c r="L11" s="1">
        <f>IF(ISBLANK(MarketData!L9),"",MarketData!L9)</f>
        <v>7.9</v>
      </c>
      <c r="M11" s="1">
        <f>IF(ISBLANK(MarketData!M9),"",MarketData!M9)</f>
        <v>0.01</v>
      </c>
      <c r="N11" s="1">
        <f>IF(ISBLANK(MarketData!N9),"",MarketData!N9)</f>
        <v>7.96</v>
      </c>
      <c r="O11" s="1">
        <f>IF(ISBLANK(MarketData!O9),"",MarketData!O9)</f>
        <v>0.01</v>
      </c>
      <c r="P11" s="1">
        <f>IF(ISBLANK(MarketData!P9),"",MarketData!P9)</f>
        <v>7.89</v>
      </c>
      <c r="Q11" s="1">
        <f>IF(ISBLANK(MarketData!Q9),"",MarketData!Q9)</f>
        <v>0.01</v>
      </c>
      <c r="R11" s="1">
        <f>IF(ISBLANK(MarketData!R9),"",MarketData!R9)</f>
        <v>7.97</v>
      </c>
      <c r="S11" s="1">
        <f>IF(ISBLANK(MarketData!S9),"",MarketData!S9)</f>
        <v>0.01</v>
      </c>
      <c r="T11" s="1">
        <f>IF(ISBLANK(MarketData!T9),"",MarketData!T9)</f>
        <v>7.88</v>
      </c>
      <c r="U11" s="1">
        <f>IF(ISBLANK(MarketData!U9),"",MarketData!U9)</f>
        <v>0.01</v>
      </c>
      <c r="V11" s="1">
        <f>IF(ISBLANK(MarketData!V9),"",MarketData!V9)</f>
        <v>7.98</v>
      </c>
      <c r="W11" s="1" t="str">
        <f>IF(ISBLANK(MarketData!W9),"",MarketData!W9)</f>
        <v/>
      </c>
      <c r="X11" s="1" t="str">
        <f>IF(ISBLANK(MarketData!X9),"",MarketData!X9)</f>
        <v/>
      </c>
      <c r="Y11" s="1">
        <f>IF(ISBLANK(MarketData!Y9),"",MarketData!Y9)</f>
        <v>0.01</v>
      </c>
      <c r="Z11" s="1">
        <f>IF(ISBLANK(MarketData!Z9),"",MarketData!Z9)</f>
        <v>7.99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8.01</v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8.92</v>
      </c>
      <c r="E12" s="1">
        <f>IF(ISBLANK(MarketData!E10),"",MarketData!E10)</f>
        <v>1</v>
      </c>
      <c r="F12" s="1">
        <f>IF(ISBLANK(MarketData!F10),"",MarketData!F10)</f>
        <v>8.94</v>
      </c>
      <c r="G12" s="1">
        <f>IF(ISBLANK(MarketData!G10),"",MarketData!G10)</f>
        <v>0.01</v>
      </c>
      <c r="H12" s="1">
        <f>IF(ISBLANK(MarketData!H10),"",MarketData!H10)</f>
        <v>8.91</v>
      </c>
      <c r="I12" s="1" t="str">
        <f>IF(ISBLANK(MarketData!I10),"",MarketData!I10)</f>
        <v/>
      </c>
      <c r="J12" s="1" t="str">
        <f>IF(ISBLANK(MarketData!J10),"",MarketData!J10)</f>
        <v/>
      </c>
      <c r="K12" s="1">
        <f>IF(ISBLANK(MarketData!K10),"",MarketData!K10)</f>
        <v>0.01</v>
      </c>
      <c r="L12" s="1">
        <f>IF(ISBLANK(MarketData!L10),"",MarketData!L10)</f>
        <v>8.9</v>
      </c>
      <c r="M12" s="1" t="str">
        <f>IF(ISBLANK(MarketData!M10),"",MarketData!M10)</f>
        <v/>
      </c>
      <c r="N12" s="1" t="str">
        <f>IF(ISBLANK(MarketData!N10),"",MarketData!N10)</f>
        <v/>
      </c>
      <c r="O12" s="1">
        <f>IF(ISBLANK(MarketData!O10),"",MarketData!O10)</f>
        <v>0.01</v>
      </c>
      <c r="P12" s="1">
        <f>IF(ISBLANK(MarketData!P10),"",MarketData!P10)</f>
        <v>8.89</v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9.89</v>
      </c>
      <c r="E13" s="1">
        <f>IF(ISBLANK(MarketData!E11),"",MarketData!E11)</f>
        <v>1</v>
      </c>
      <c r="F13" s="1">
        <f>IF(ISBLANK(MarketData!F11),"",MarketData!F11)</f>
        <v>9.91</v>
      </c>
      <c r="G13" s="1">
        <f>IF(ISBLANK(MarketData!G11),"",MarketData!G11)</f>
        <v>0.01</v>
      </c>
      <c r="H13" s="1">
        <f>IF(ISBLANK(MarketData!H11),"",MarketData!H11)</f>
        <v>9.8800000000000008</v>
      </c>
      <c r="I13" s="1">
        <f>IF(ISBLANK(MarketData!I11),"",MarketData!I11)</f>
        <v>0.01</v>
      </c>
      <c r="J13" s="1">
        <f>IF(ISBLANK(MarketData!J11),"",MarketData!J11)</f>
        <v>9.92</v>
      </c>
      <c r="K13" s="1">
        <f>IF(ISBLANK(MarketData!K11),"",MarketData!K11)</f>
        <v>0.01</v>
      </c>
      <c r="L13" s="1">
        <f>IF(ISBLANK(MarketData!L11),"",MarketData!L11)</f>
        <v>9.8699999999999992</v>
      </c>
      <c r="M13" s="1">
        <f>IF(ISBLANK(MarketData!M11),"",MarketData!M11)</f>
        <v>0.01</v>
      </c>
      <c r="N13" s="1">
        <f>IF(ISBLANK(MarketData!N11),"",MarketData!N11)</f>
        <v>9.93</v>
      </c>
      <c r="O13" s="1">
        <f>IF(ISBLANK(MarketData!O11),"",MarketData!O11)</f>
        <v>0.01</v>
      </c>
      <c r="P13" s="1">
        <f>IF(ISBLANK(MarketData!P11),"",MarketData!P11)</f>
        <v>9.86</v>
      </c>
      <c r="Q13" s="1">
        <f>IF(ISBLANK(MarketData!Q11),"",MarketData!Q11)</f>
        <v>0.01</v>
      </c>
      <c r="R13" s="1">
        <f>IF(ISBLANK(MarketData!R11),"",MarketData!R11)</f>
        <v>9.94</v>
      </c>
      <c r="S13" s="1">
        <f>IF(ISBLANK(MarketData!S11),"",MarketData!S11)</f>
        <v>0.01</v>
      </c>
      <c r="T13" s="1">
        <f>IF(ISBLANK(MarketData!T11),"",MarketData!T11)</f>
        <v>9.85</v>
      </c>
      <c r="U13" s="1">
        <f>IF(ISBLANK(MarketData!U11),"",MarketData!U11)</f>
        <v>0.01</v>
      </c>
      <c r="V13" s="1">
        <f>IF(ISBLANK(MarketData!V11),"",MarketData!V11)</f>
        <v>9.9499999999999993</v>
      </c>
      <c r="W13" s="1">
        <f>IF(ISBLANK(MarketData!W11),"",MarketData!W11)</f>
        <v>0.01</v>
      </c>
      <c r="X13" s="1">
        <f>IF(ISBLANK(MarketData!X11),"",MarketData!X11)</f>
        <v>9.84</v>
      </c>
      <c r="Y13" s="1">
        <f>IF(ISBLANK(MarketData!Y11),"",MarketData!Y11)</f>
        <v>0.01</v>
      </c>
      <c r="Z13" s="1">
        <f>IF(ISBLANK(MarketData!Z11),"",MarketData!Z11)</f>
        <v>9.9600000000000009</v>
      </c>
      <c r="AA13" s="1">
        <f>IF(ISBLANK(MarketData!AA11),"",MarketData!AA11)</f>
        <v>0.01</v>
      </c>
      <c r="AB13" s="1">
        <f>IF(ISBLANK(MarketData!AB11),"",MarketData!AB11)</f>
        <v>9.83</v>
      </c>
      <c r="AC13" s="1">
        <f>IF(ISBLANK(MarketData!AC11),"",MarketData!AC11)</f>
        <v>0.01</v>
      </c>
      <c r="AD13" s="1">
        <f>IF(ISBLANK(MarketData!AD11),"",MarketData!AD11)</f>
        <v>9.9700000000000006</v>
      </c>
      <c r="AE13" s="1">
        <f>IF(ISBLANK(MarketData!AE11),"",MarketData!AE11)</f>
        <v>0.01</v>
      </c>
      <c r="AF13" s="1">
        <f>IF(ISBLANK(MarketData!AF11),"",MarketData!AF11)</f>
        <v>9.82</v>
      </c>
      <c r="AG13" s="1">
        <f>IF(ISBLANK(MarketData!AG11),"",MarketData!AG11)</f>
        <v>0.01</v>
      </c>
      <c r="AH13" s="1">
        <f>IF(ISBLANK(MarketData!AH11),"",MarketData!AH11)</f>
        <v>9.98</v>
      </c>
      <c r="AI13" s="1">
        <f>IF(ISBLANK(MarketData!AI11),"",MarketData!AI11)</f>
        <v>0.01</v>
      </c>
      <c r="AJ13" s="1">
        <f>IF(ISBLANK(MarketData!AJ11),"",MarketData!AJ11)</f>
        <v>9.81</v>
      </c>
      <c r="AK13" s="1">
        <f>IF(ISBLANK(MarketData!AK11),"",MarketData!AK11)</f>
        <v>0.01</v>
      </c>
      <c r="AL13" s="1">
        <f>IF(ISBLANK(MarketData!AL11),"",MarketData!AL11)</f>
        <v>9.99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10.89</v>
      </c>
      <c r="E14" s="1">
        <f>IF(ISBLANK(MarketData!E12),"",MarketData!E12)</f>
        <v>1</v>
      </c>
      <c r="F14" s="1">
        <f>IF(ISBLANK(MarketData!F12),"",MarketData!F12)</f>
        <v>10.91</v>
      </c>
      <c r="G14" s="1">
        <f>IF(ISBLANK(MarketData!G12),"",MarketData!G12)</f>
        <v>0.01</v>
      </c>
      <c r="H14" s="1">
        <f>IF(ISBLANK(MarketData!H12),"",MarketData!H12)</f>
        <v>10.88</v>
      </c>
      <c r="I14" s="1">
        <f>IF(ISBLANK(MarketData!I12),"",MarketData!I12)</f>
        <v>0.01</v>
      </c>
      <c r="J14" s="1">
        <f>IF(ISBLANK(MarketData!J12),"",MarketData!J12)</f>
        <v>10.92</v>
      </c>
      <c r="K14" s="1">
        <f>IF(ISBLANK(MarketData!K12),"",MarketData!K12)</f>
        <v>0.01</v>
      </c>
      <c r="L14" s="1">
        <f>IF(ISBLANK(MarketData!L12),"",MarketData!L12)</f>
        <v>10.87</v>
      </c>
      <c r="M14" s="1">
        <f>IF(ISBLANK(MarketData!M12),"",MarketData!M12)</f>
        <v>0.01</v>
      </c>
      <c r="N14" s="1">
        <f>IF(ISBLANK(MarketData!N12),"",MarketData!N12)</f>
        <v>10.93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10.94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10.95</v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11.92</v>
      </c>
      <c r="E15" s="1">
        <f>IF(ISBLANK(MarketData!E13),"",MarketData!E13)</f>
        <v>1</v>
      </c>
      <c r="F15" s="1">
        <f>IF(ISBLANK(MarketData!F13),"",MarketData!F13)</f>
        <v>11.94</v>
      </c>
      <c r="G15" s="1">
        <f>IF(ISBLANK(MarketData!G13),"",MarketData!G13)</f>
        <v>0.01</v>
      </c>
      <c r="H15" s="1">
        <f>IF(ISBLANK(MarketData!H13),"",MarketData!H13)</f>
        <v>11.91</v>
      </c>
      <c r="I15" s="1">
        <f>IF(ISBLANK(MarketData!I13),"",MarketData!I13)</f>
        <v>0.01</v>
      </c>
      <c r="J15" s="1">
        <f>IF(ISBLANK(MarketData!J13),"",MarketData!J13)</f>
        <v>11.95</v>
      </c>
      <c r="K15" s="1">
        <f>IF(ISBLANK(MarketData!K13),"",MarketData!K13)</f>
        <v>0.01</v>
      </c>
      <c r="L15" s="1">
        <f>IF(ISBLANK(MarketData!L13),"",MarketData!L13)</f>
        <v>11.9</v>
      </c>
      <c r="M15" s="1">
        <f>IF(ISBLANK(MarketData!M13),"",MarketData!M13)</f>
        <v>0.01</v>
      </c>
      <c r="N15" s="1">
        <f>IF(ISBLANK(MarketData!N13),"",MarketData!N13)</f>
        <v>11.96</v>
      </c>
      <c r="O15" s="1">
        <f>IF(ISBLANK(MarketData!O13),"",MarketData!O13)</f>
        <v>0.01</v>
      </c>
      <c r="P15" s="1">
        <f>IF(ISBLANK(MarketData!P13),"",MarketData!P13)</f>
        <v>11.89</v>
      </c>
      <c r="Q15" s="1">
        <f>IF(ISBLANK(MarketData!Q13),"",MarketData!Q13)</f>
        <v>0.01</v>
      </c>
      <c r="R15" s="1">
        <f>IF(ISBLANK(MarketData!R13),"",MarketData!R13)</f>
        <v>11.97</v>
      </c>
      <c r="S15" s="1">
        <f>IF(ISBLANK(MarketData!S13),"",MarketData!S13)</f>
        <v>0.01</v>
      </c>
      <c r="T15" s="1">
        <f>IF(ISBLANK(MarketData!T13),"",MarketData!T13)</f>
        <v>11.88</v>
      </c>
      <c r="U15" s="1">
        <f>IF(ISBLANK(MarketData!U13),"",MarketData!U13)</f>
        <v>0.01</v>
      </c>
      <c r="V15" s="1">
        <f>IF(ISBLANK(MarketData!V13),"",MarketData!V13)</f>
        <v>11.98</v>
      </c>
      <c r="W15" s="1">
        <f>IF(ISBLANK(MarketData!W13),"",MarketData!W13)</f>
        <v>0.01</v>
      </c>
      <c r="X15" s="1">
        <f>IF(ISBLANK(MarketData!X13),"",MarketData!X13)</f>
        <v>11.87</v>
      </c>
      <c r="Y15" s="1">
        <f>IF(ISBLANK(MarketData!Y13),"",MarketData!Y13)</f>
        <v>0.01</v>
      </c>
      <c r="Z15" s="1">
        <f>IF(ISBLANK(MarketData!Z13),"",MarketData!Z13)</f>
        <v>11.99</v>
      </c>
      <c r="AA15" s="1">
        <f>IF(ISBLANK(MarketData!AA13),"",MarketData!AA13)</f>
        <v>0.01</v>
      </c>
      <c r="AB15" s="1">
        <f>IF(ISBLANK(MarketData!AB13),"",MarketData!AB13)</f>
        <v>11.86</v>
      </c>
      <c r="AC15" s="1">
        <f>IF(ISBLANK(MarketData!AC13),"",MarketData!AC13)</f>
        <v>0.01</v>
      </c>
      <c r="AD15" s="1">
        <f>IF(ISBLANK(MarketData!AD13),"",MarketData!AD13)</f>
        <v>12</v>
      </c>
      <c r="AE15" s="1">
        <f>IF(ISBLANK(MarketData!AE13),"",MarketData!AE13)</f>
        <v>0.01</v>
      </c>
      <c r="AF15" s="1">
        <f>IF(ISBLANK(MarketData!AF13),"",MarketData!AF13)</f>
        <v>11.85</v>
      </c>
      <c r="AG15" s="1">
        <f>IF(ISBLANK(MarketData!AG13),"",MarketData!AG13)</f>
        <v>0.01</v>
      </c>
      <c r="AH15" s="1">
        <f>IF(ISBLANK(MarketData!AH13),"",MarketData!AH13)</f>
        <v>12.01</v>
      </c>
      <c r="AI15" s="1">
        <f>IF(ISBLANK(MarketData!AI13),"",MarketData!AI13)</f>
        <v>0.01</v>
      </c>
      <c r="AJ15" s="1">
        <f>IF(ISBLANK(MarketData!AJ13),"",MarketData!AJ13)</f>
        <v>11.84</v>
      </c>
      <c r="AK15" s="1">
        <f>IF(ISBLANK(MarketData!AK13),"",MarketData!AK13)</f>
        <v>0.01</v>
      </c>
      <c r="AL15" s="1">
        <f>IF(ISBLANK(MarketData!AL13),"",MarketData!AL13)</f>
        <v>12.02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>
        <f>IF(ISBLANK(MarketData!AO13),"",MarketData!AO13)</f>
        <v>0.01</v>
      </c>
      <c r="AP15" s="1">
        <f>IF(ISBLANK(MarketData!AP13),"",MarketData!AP13)</f>
        <v>12.03</v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12.89</v>
      </c>
      <c r="E16" s="1">
        <f>IF(ISBLANK(MarketData!E14),"",MarketData!E14)</f>
        <v>1</v>
      </c>
      <c r="F16" s="1">
        <f>IF(ISBLANK(MarketData!F14),"",MarketData!F14)</f>
        <v>12.91</v>
      </c>
      <c r="G16" s="1">
        <f>IF(ISBLANK(MarketData!G14),"",MarketData!G14)</f>
        <v>0.01</v>
      </c>
      <c r="H16" s="1">
        <f>IF(ISBLANK(MarketData!H14),"",MarketData!H14)</f>
        <v>12.88</v>
      </c>
      <c r="I16" s="1">
        <f>IF(ISBLANK(MarketData!I14),"",MarketData!I14)</f>
        <v>0.01</v>
      </c>
      <c r="J16" s="1">
        <f>IF(ISBLANK(MarketData!J14),"",MarketData!J14)</f>
        <v>12.92</v>
      </c>
      <c r="K16" s="1" t="str">
        <f>IF(ISBLANK(MarketData!K14),"",MarketData!K14)</f>
        <v/>
      </c>
      <c r="L16" s="1" t="str">
        <f>IF(ISBLANK(MarketData!L14),"",MarketData!L14)</f>
        <v/>
      </c>
      <c r="M16" s="1">
        <f>IF(ISBLANK(MarketData!M14),"",MarketData!M14)</f>
        <v>0.01</v>
      </c>
      <c r="N16" s="1">
        <f>IF(ISBLANK(MarketData!N14),"",MarketData!N14)</f>
        <v>12.93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12.94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12.95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12.96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12.97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0.92</v>
      </c>
      <c r="E17" s="1">
        <f>IF(ISBLANK(MarketData!E15),"",MarketData!E15)</f>
        <v>1</v>
      </c>
      <c r="F17" s="1">
        <f>IF(ISBLANK(MarketData!F15),"",MarketData!F15)</f>
        <v>0.94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0.96</v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13.92</v>
      </c>
      <c r="E18" s="1">
        <f>IF(ISBLANK(MarketData!E16),"",MarketData!E16)</f>
        <v>1</v>
      </c>
      <c r="F18" s="1">
        <f>IF(ISBLANK(MarketData!F16),"",MarketData!F16)</f>
        <v>13.94</v>
      </c>
      <c r="G18" s="1">
        <f>IF(ISBLANK(MarketData!G16),"",MarketData!G16)</f>
        <v>0.01</v>
      </c>
      <c r="H18" s="1">
        <f>IF(ISBLANK(MarketData!H16),"",MarketData!H16)</f>
        <v>13.91</v>
      </c>
      <c r="I18" s="1">
        <f>IF(ISBLANK(MarketData!I16),"",MarketData!I16)</f>
        <v>0.01</v>
      </c>
      <c r="J18" s="1">
        <f>IF(ISBLANK(MarketData!J16),"",MarketData!J16)</f>
        <v>13.95</v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14.89</v>
      </c>
      <c r="E19" s="1">
        <f>IF(ISBLANK(MarketData!E17),"",MarketData!E17)</f>
        <v>1</v>
      </c>
      <c r="F19" s="1">
        <f>IF(ISBLANK(MarketData!F17),"",MarketData!F17)</f>
        <v>14.91</v>
      </c>
      <c r="G19" s="1">
        <f>IF(ISBLANK(MarketData!G17),"",MarketData!G17)</f>
        <v>0.01</v>
      </c>
      <c r="H19" s="1">
        <f>IF(ISBLANK(MarketData!H17),"",MarketData!H17)</f>
        <v>14.88</v>
      </c>
      <c r="I19" s="1">
        <f>IF(ISBLANK(MarketData!I17),"",MarketData!I17)</f>
        <v>0.01</v>
      </c>
      <c r="J19" s="1">
        <f>IF(ISBLANK(MarketData!J17),"",MarketData!J17)</f>
        <v>14.92</v>
      </c>
      <c r="K19" s="1">
        <f>IF(ISBLANK(MarketData!K17),"",MarketData!K17)</f>
        <v>0.01</v>
      </c>
      <c r="L19" s="1">
        <f>IF(ISBLANK(MarketData!L17),"",MarketData!L17)</f>
        <v>14.87</v>
      </c>
      <c r="M19" s="1">
        <f>IF(ISBLANK(MarketData!M17),"",MarketData!M17)</f>
        <v>0.01</v>
      </c>
      <c r="N19" s="1">
        <f>IF(ISBLANK(MarketData!N17),"",MarketData!N17)</f>
        <v>14.93</v>
      </c>
      <c r="O19" s="1" t="str">
        <f>IF(ISBLANK(MarketData!O17),"",MarketData!O17)</f>
        <v/>
      </c>
      <c r="P19" s="1" t="str">
        <f>IF(ISBLANK(MarketData!P17),"",MarketData!P17)</f>
        <v/>
      </c>
      <c r="Q19" s="1">
        <f>IF(ISBLANK(MarketData!Q17),"",MarketData!Q17)</f>
        <v>0.01</v>
      </c>
      <c r="R19" s="1">
        <f>IF(ISBLANK(MarketData!R17),"",MarketData!R17)</f>
        <v>14.94</v>
      </c>
      <c r="S19" s="1" t="str">
        <f>IF(ISBLANK(MarketData!S17),"",MarketData!S17)</f>
        <v/>
      </c>
      <c r="T19" s="1" t="str">
        <f>IF(ISBLANK(MarketData!T17),"",MarketData!T17)</f>
        <v/>
      </c>
      <c r="U19" s="1">
        <f>IF(ISBLANK(MarketData!U17),"",MarketData!U17)</f>
        <v>0.01</v>
      </c>
      <c r="V19" s="1">
        <f>IF(ISBLANK(MarketData!V17),"",MarketData!V17)</f>
        <v>14.95</v>
      </c>
      <c r="W19" s="1" t="str">
        <f>IF(ISBLANK(MarketData!W17),"",MarketData!W17)</f>
        <v/>
      </c>
      <c r="X19" s="1" t="str">
        <f>IF(ISBLANK(MarketData!X17),"",MarketData!X17)</f>
        <v/>
      </c>
      <c r="Y19" s="1">
        <f>IF(ISBLANK(MarketData!Y17),"",MarketData!Y17)</f>
        <v>0.01</v>
      </c>
      <c r="Z19" s="1">
        <f>IF(ISBLANK(MarketData!Z17),"",MarketData!Z17)</f>
        <v>14.96</v>
      </c>
      <c r="AA19" s="1" t="str">
        <f>IF(ISBLANK(MarketData!AA17),"",MarketData!AA17)</f>
        <v/>
      </c>
      <c r="AB19" s="1" t="str">
        <f>IF(ISBLANK(MarketData!AB17),"",MarketData!AB17)</f>
        <v/>
      </c>
      <c r="AC19" s="1">
        <f>IF(ISBLANK(MarketData!AC17),"",MarketData!AC17)</f>
        <v>0.01</v>
      </c>
      <c r="AD19" s="1">
        <f>IF(ISBLANK(MarketData!AD17),"",MarketData!AD17)</f>
        <v>14.97</v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15.89</v>
      </c>
      <c r="E20" s="1">
        <f>IF(ISBLANK(MarketData!E18),"",MarketData!E18)</f>
        <v>1</v>
      </c>
      <c r="F20" s="1">
        <f>IF(ISBLANK(MarketData!F18),"",MarketData!F18)</f>
        <v>15.91</v>
      </c>
      <c r="G20" s="1">
        <f>IF(ISBLANK(MarketData!G18),"",MarketData!G18)</f>
        <v>0.01</v>
      </c>
      <c r="H20" s="1">
        <f>IF(ISBLANK(MarketData!H18),"",MarketData!H18)</f>
        <v>15.88</v>
      </c>
      <c r="I20" s="1">
        <f>IF(ISBLANK(MarketData!I18),"",MarketData!I18)</f>
        <v>0.01</v>
      </c>
      <c r="J20" s="1">
        <f>IF(ISBLANK(MarketData!J18),"",MarketData!J18)</f>
        <v>15.92</v>
      </c>
      <c r="K20" s="1" t="str">
        <f>IF(ISBLANK(MarketData!K18),"",MarketData!K18)</f>
        <v/>
      </c>
      <c r="L20" s="1" t="str">
        <f>IF(ISBLANK(MarketData!L18),"",MarketData!L18)</f>
        <v/>
      </c>
      <c r="M20" s="1">
        <f>IF(ISBLANK(MarketData!M18),"",MarketData!M18)</f>
        <v>0.01</v>
      </c>
      <c r="N20" s="1">
        <f>IF(ISBLANK(MarketData!N18),"",MarketData!N18)</f>
        <v>15.93</v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16.89</v>
      </c>
      <c r="E21" s="1">
        <f>IF(ISBLANK(MarketData!E19),"",MarketData!E19)</f>
        <v>1</v>
      </c>
      <c r="F21" s="1">
        <f>IF(ISBLANK(MarketData!F19),"",MarketData!F19)</f>
        <v>16.91</v>
      </c>
      <c r="G21" s="1">
        <f>IF(ISBLANK(MarketData!G19),"",MarketData!G19)</f>
        <v>0.01</v>
      </c>
      <c r="H21" s="1">
        <f>IF(ISBLANK(MarketData!H19),"",MarketData!H19)</f>
        <v>16.88</v>
      </c>
      <c r="I21" s="1">
        <f>IF(ISBLANK(MarketData!I19),"",MarketData!I19)</f>
        <v>0.01</v>
      </c>
      <c r="J21" s="1">
        <f>IF(ISBLANK(MarketData!J19),"",MarketData!J19)</f>
        <v>16.920000000000002</v>
      </c>
      <c r="K21" s="1">
        <f>IF(ISBLANK(MarketData!K19),"",MarketData!K19)</f>
        <v>0.01</v>
      </c>
      <c r="L21" s="1">
        <f>IF(ISBLANK(MarketData!L19),"",MarketData!L19)</f>
        <v>16.87</v>
      </c>
      <c r="M21" s="1">
        <f>IF(ISBLANK(MarketData!M19),"",MarketData!M19)</f>
        <v>0.01</v>
      </c>
      <c r="N21" s="1">
        <f>IF(ISBLANK(MarketData!N19),"",MarketData!N19)</f>
        <v>16.93</v>
      </c>
      <c r="O21" s="1" t="str">
        <f>IF(ISBLANK(MarketData!O19),"",MarketData!O19)</f>
        <v/>
      </c>
      <c r="P21" s="1" t="str">
        <f>IF(ISBLANK(MarketData!P19),"",MarketData!P19)</f>
        <v/>
      </c>
      <c r="Q21" s="1">
        <f>IF(ISBLANK(MarketData!Q19),"",MarketData!Q19)</f>
        <v>0.01</v>
      </c>
      <c r="R21" s="1">
        <f>IF(ISBLANK(MarketData!R19),"",MarketData!R19)</f>
        <v>16.940000000000001</v>
      </c>
      <c r="S21" s="1" t="str">
        <f>IF(ISBLANK(MarketData!S19),"",MarketData!S19)</f>
        <v/>
      </c>
      <c r="T21" s="1" t="str">
        <f>IF(ISBLANK(MarketData!T19),"",MarketData!T19)</f>
        <v/>
      </c>
      <c r="U21" s="1">
        <f>IF(ISBLANK(MarketData!U19),"",MarketData!U19)</f>
        <v>0.01</v>
      </c>
      <c r="V21" s="1">
        <f>IF(ISBLANK(MarketData!V19),"",MarketData!V19)</f>
        <v>16.95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16.96</v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17.89</v>
      </c>
      <c r="E22" s="1">
        <f>IF(ISBLANK(MarketData!E20),"",MarketData!E20)</f>
        <v>1</v>
      </c>
      <c r="F22" s="1">
        <f>IF(ISBLANK(MarketData!F20),"",MarketData!F20)</f>
        <v>17.91</v>
      </c>
      <c r="G22" s="1">
        <f>IF(ISBLANK(MarketData!G20),"",MarketData!G20)</f>
        <v>0.01</v>
      </c>
      <c r="H22" s="1">
        <f>IF(ISBLANK(MarketData!H20),"",MarketData!H20)</f>
        <v>17.88</v>
      </c>
      <c r="I22" s="1">
        <f>IF(ISBLANK(MarketData!I20),"",MarketData!I20)</f>
        <v>0.01</v>
      </c>
      <c r="J22" s="1">
        <f>IF(ISBLANK(MarketData!J20),"",MarketData!J20)</f>
        <v>17.920000000000002</v>
      </c>
      <c r="K22" s="1">
        <f>IF(ISBLANK(MarketData!K20),"",MarketData!K20)</f>
        <v>0.01</v>
      </c>
      <c r="L22" s="1">
        <f>IF(ISBLANK(MarketData!L20),"",MarketData!L20)</f>
        <v>17.87</v>
      </c>
      <c r="M22" s="1">
        <f>IF(ISBLANK(MarketData!M20),"",MarketData!M20)</f>
        <v>0.01</v>
      </c>
      <c r="N22" s="1">
        <f>IF(ISBLANK(MarketData!N20),"",MarketData!N20)</f>
        <v>17.93</v>
      </c>
      <c r="O22" s="1">
        <f>IF(ISBLANK(MarketData!O20),"",MarketData!O20)</f>
        <v>0.01</v>
      </c>
      <c r="P22" s="1">
        <f>IF(ISBLANK(MarketData!P20),"",MarketData!P20)</f>
        <v>17.86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17.850000000000001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17.84</v>
      </c>
      <c r="Y22" s="1" t="str">
        <f>IF(ISBLANK(MarketData!Y20),"",MarketData!Y20)</f>
        <v/>
      </c>
      <c r="Z22" s="1" t="str">
        <f>IF(ISBLANK(MarketData!Z20),"",MarketData!Z20)</f>
        <v/>
      </c>
      <c r="AA22" s="1">
        <f>IF(ISBLANK(MarketData!AA20),"",MarketData!AA20)</f>
        <v>0.01</v>
      </c>
      <c r="AB22" s="1">
        <f>IF(ISBLANK(MarketData!AB20),"",MarketData!AB20)</f>
        <v>17.829999999999998</v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18.89</v>
      </c>
      <c r="E23" s="1">
        <f>IF(ISBLANK(MarketData!E21),"",MarketData!E21)</f>
        <v>1</v>
      </c>
      <c r="F23" s="1">
        <f>IF(ISBLANK(MarketData!F21),"",MarketData!F21)</f>
        <v>18.91</v>
      </c>
      <c r="G23" s="1">
        <f>IF(ISBLANK(MarketData!G21),"",MarketData!G21)</f>
        <v>0.01</v>
      </c>
      <c r="H23" s="1">
        <f>IF(ISBLANK(MarketData!H21),"",MarketData!H21)</f>
        <v>18.88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18.87</v>
      </c>
      <c r="M23" s="1" t="str">
        <f>IF(ISBLANK(MarketData!M21),"",MarketData!M21)</f>
        <v/>
      </c>
      <c r="N23" s="1" t="str">
        <f>IF(ISBLANK(MarketData!N21),"",MarketData!N21)</f>
        <v/>
      </c>
      <c r="O23" s="1">
        <f>IF(ISBLANK(MarketData!O21),"",MarketData!O21)</f>
        <v>0.01</v>
      </c>
      <c r="P23" s="1">
        <f>IF(ISBLANK(MarketData!P21),"",MarketData!P21)</f>
        <v>18.86</v>
      </c>
      <c r="Q23" s="1" t="str">
        <f>IF(ISBLANK(MarketData!Q21),"",MarketData!Q21)</f>
        <v/>
      </c>
      <c r="R23" s="1" t="str">
        <f>IF(ISBLANK(MarketData!R21),"",MarketData!R21)</f>
        <v/>
      </c>
      <c r="S23" s="1">
        <f>IF(ISBLANK(MarketData!S21),"",MarketData!S21)</f>
        <v>0.01</v>
      </c>
      <c r="T23" s="1">
        <f>IF(ISBLANK(MarketData!T21),"",MarketData!T21)</f>
        <v>18.850000000000001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19.920000000000002</v>
      </c>
      <c r="E24" s="1">
        <f>IF(ISBLANK(MarketData!E22),"",MarketData!E22)</f>
        <v>1</v>
      </c>
      <c r="F24" s="1">
        <f>IF(ISBLANK(MarketData!F22),"",MarketData!F22)</f>
        <v>19.940000000000001</v>
      </c>
      <c r="G24" s="1">
        <f>IF(ISBLANK(MarketData!G22),"",MarketData!G22)</f>
        <v>0.01</v>
      </c>
      <c r="H24" s="1">
        <f>IF(ISBLANK(MarketData!H22),"",MarketData!H22)</f>
        <v>19.91</v>
      </c>
      <c r="I24" s="1">
        <f>IF(ISBLANK(MarketData!I22),"",MarketData!I22)</f>
        <v>0.01</v>
      </c>
      <c r="J24" s="1">
        <f>IF(ISBLANK(MarketData!J22),"",MarketData!J22)</f>
        <v>19.95</v>
      </c>
      <c r="K24" s="1">
        <f>IF(ISBLANK(MarketData!K22),"",MarketData!K22)</f>
        <v>0.01</v>
      </c>
      <c r="L24" s="1">
        <f>IF(ISBLANK(MarketData!L22),"",MarketData!L22)</f>
        <v>19.899999999999999</v>
      </c>
      <c r="M24" s="1">
        <f>IF(ISBLANK(MarketData!M22),"",MarketData!M22)</f>
        <v>0.01</v>
      </c>
      <c r="N24" s="1">
        <f>IF(ISBLANK(MarketData!N22),"",MarketData!N22)</f>
        <v>19.96</v>
      </c>
      <c r="O24" s="1">
        <f>IF(ISBLANK(MarketData!O22),"",MarketData!O22)</f>
        <v>0.01</v>
      </c>
      <c r="P24" s="1">
        <f>IF(ISBLANK(MarketData!P22),"",MarketData!P22)</f>
        <v>19.89</v>
      </c>
      <c r="Q24" s="1">
        <f>IF(ISBLANK(MarketData!Q22),"",MarketData!Q22)</f>
        <v>0.01</v>
      </c>
      <c r="R24" s="1">
        <f>IF(ISBLANK(MarketData!R22),"",MarketData!R22)</f>
        <v>19.97</v>
      </c>
      <c r="S24" s="1">
        <f>IF(ISBLANK(MarketData!S22),"",MarketData!S22)</f>
        <v>0.01</v>
      </c>
      <c r="T24" s="1">
        <f>IF(ISBLANK(MarketData!T22),"",MarketData!T22)</f>
        <v>19.88</v>
      </c>
      <c r="U24" s="1">
        <f>IF(ISBLANK(MarketData!U22),"",MarketData!U22)</f>
        <v>0.01</v>
      </c>
      <c r="V24" s="1">
        <f>IF(ISBLANK(MarketData!V22),"",MarketData!V22)</f>
        <v>19.98</v>
      </c>
      <c r="W24" s="1">
        <f>IF(ISBLANK(MarketData!W22),"",MarketData!W22)</f>
        <v>0.01</v>
      </c>
      <c r="X24" s="1">
        <f>IF(ISBLANK(MarketData!X22),"",MarketData!X22)</f>
        <v>19.87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19.86</v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20.89</v>
      </c>
      <c r="E25" s="1">
        <f>IF(ISBLANK(MarketData!E23),"",MarketData!E23)</f>
        <v>1</v>
      </c>
      <c r="F25" s="1">
        <f>IF(ISBLANK(MarketData!F23),"",MarketData!F23)</f>
        <v>20.91</v>
      </c>
      <c r="G25" s="1">
        <f>IF(ISBLANK(MarketData!G23),"",MarketData!G23)</f>
        <v>0.01</v>
      </c>
      <c r="H25" s="1">
        <f>IF(ISBLANK(MarketData!H23),"",MarketData!H23)</f>
        <v>20.88</v>
      </c>
      <c r="I25" s="1">
        <f>IF(ISBLANK(MarketData!I23),"",MarketData!I23)</f>
        <v>0.01</v>
      </c>
      <c r="J25" s="1">
        <f>IF(ISBLANK(MarketData!J23),"",MarketData!J23)</f>
        <v>20.92</v>
      </c>
      <c r="K25" s="1">
        <f>IF(ISBLANK(MarketData!K23),"",MarketData!K23)</f>
        <v>0.01</v>
      </c>
      <c r="L25" s="1">
        <f>IF(ISBLANK(MarketData!L23),"",MarketData!L23)</f>
        <v>20.87</v>
      </c>
      <c r="M25" s="1">
        <f>IF(ISBLANK(MarketData!M23),"",MarketData!M23)</f>
        <v>0.01</v>
      </c>
      <c r="N25" s="1">
        <f>IF(ISBLANK(MarketData!N23),"",MarketData!N23)</f>
        <v>20.93</v>
      </c>
      <c r="O25" s="1">
        <f>IF(ISBLANK(MarketData!O23),"",MarketData!O23)</f>
        <v>0.01</v>
      </c>
      <c r="P25" s="1">
        <f>IF(ISBLANK(MarketData!P23),"",MarketData!P23)</f>
        <v>20.86</v>
      </c>
      <c r="Q25" s="1" t="str">
        <f>IF(ISBLANK(MarketData!Q23),"",MarketData!Q23)</f>
        <v/>
      </c>
      <c r="R25" s="1" t="str">
        <f>IF(ISBLANK(MarketData!R23),"",MarketData!R23)</f>
        <v/>
      </c>
      <c r="S25" s="1">
        <f>IF(ISBLANK(MarketData!S23),"",MarketData!S23)</f>
        <v>0.01</v>
      </c>
      <c r="T25" s="1">
        <f>IF(ISBLANK(MarketData!T23),"",MarketData!T23)</f>
        <v>20.85</v>
      </c>
      <c r="U25" s="1" t="str">
        <f>IF(ISBLANK(MarketData!U23),"",MarketData!U23)</f>
        <v/>
      </c>
      <c r="V25" s="1" t="str">
        <f>IF(ISBLANK(MarketData!V23),"",MarketData!V23)</f>
        <v/>
      </c>
      <c r="W25" s="1">
        <f>IF(ISBLANK(MarketData!W23),"",MarketData!W23)</f>
        <v>0.01</v>
      </c>
      <c r="X25" s="1">
        <f>IF(ISBLANK(MarketData!X23),"",MarketData!X23)</f>
        <v>20.84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20.83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21.92</v>
      </c>
      <c r="E26" s="1">
        <f>IF(ISBLANK(MarketData!E24),"",MarketData!E24)</f>
        <v>1</v>
      </c>
      <c r="F26" s="1">
        <f>IF(ISBLANK(MarketData!F24),"",MarketData!F24)</f>
        <v>21.94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22.92</v>
      </c>
      <c r="E27" s="1">
        <f>IF(ISBLANK(MarketData!E25),"",MarketData!E25)</f>
        <v>1</v>
      </c>
      <c r="F27" s="1">
        <f>IF(ISBLANK(MarketData!F25),"",MarketData!F25)</f>
        <v>22.94</v>
      </c>
      <c r="G27" s="1">
        <f>IF(ISBLANK(MarketData!G25),"",MarketData!G25)</f>
        <v>0.01</v>
      </c>
      <c r="H27" s="1">
        <f>IF(ISBLANK(MarketData!H25),"",MarketData!H25)</f>
        <v>22.91</v>
      </c>
      <c r="I27" s="1">
        <f>IF(ISBLANK(MarketData!I25),"",MarketData!I25)</f>
        <v>0.01</v>
      </c>
      <c r="J27" s="1">
        <f>IF(ISBLANK(MarketData!J25),"",MarketData!J25)</f>
        <v>22.95</v>
      </c>
      <c r="K27" s="1">
        <f>IF(ISBLANK(MarketData!K25),"",MarketData!K25)</f>
        <v>0.01</v>
      </c>
      <c r="L27" s="1">
        <f>IF(ISBLANK(MarketData!L25),"",MarketData!L25)</f>
        <v>22.9</v>
      </c>
      <c r="M27" s="1">
        <f>IF(ISBLANK(MarketData!M25),"",MarketData!M25)</f>
        <v>0.01</v>
      </c>
      <c r="N27" s="1">
        <f>IF(ISBLANK(MarketData!N25),"",MarketData!N25)</f>
        <v>22.96</v>
      </c>
      <c r="O27" s="1">
        <f>IF(ISBLANK(MarketData!O25),"",MarketData!O25)</f>
        <v>0.01</v>
      </c>
      <c r="P27" s="1">
        <f>IF(ISBLANK(MarketData!P25),"",MarketData!P25)</f>
        <v>22.89</v>
      </c>
      <c r="Q27" s="1">
        <f>IF(ISBLANK(MarketData!Q25),"",MarketData!Q25)</f>
        <v>0.01</v>
      </c>
      <c r="R27" s="1">
        <f>IF(ISBLANK(MarketData!R25),"",MarketData!R25)</f>
        <v>22.97</v>
      </c>
      <c r="S27" s="1">
        <f>IF(ISBLANK(MarketData!S25),"",MarketData!S25)</f>
        <v>0.01</v>
      </c>
      <c r="T27" s="1">
        <f>IF(ISBLANK(MarketData!T25),"",MarketData!T25)</f>
        <v>22.88</v>
      </c>
      <c r="U27" s="1">
        <f>IF(ISBLANK(MarketData!U25),"",MarketData!U25)</f>
        <v>0.01</v>
      </c>
      <c r="V27" s="1">
        <f>IF(ISBLANK(MarketData!V25),"",MarketData!V25)</f>
        <v>22.98</v>
      </c>
      <c r="W27" s="1">
        <f>IF(ISBLANK(MarketData!W25),"",MarketData!W25)</f>
        <v>0.01</v>
      </c>
      <c r="X27" s="1">
        <f>IF(ISBLANK(MarketData!X25),"",MarketData!X25)</f>
        <v>22.87</v>
      </c>
      <c r="Y27" s="1">
        <f>IF(ISBLANK(MarketData!Y25),"",MarketData!Y25)</f>
        <v>0.01</v>
      </c>
      <c r="Z27" s="1">
        <f>IF(ISBLANK(MarketData!Z25),"",MarketData!Z25)</f>
        <v>22.99</v>
      </c>
      <c r="AA27" s="1">
        <f>IF(ISBLANK(MarketData!AA25),"",MarketData!AA25)</f>
        <v>0.01</v>
      </c>
      <c r="AB27" s="1">
        <f>IF(ISBLANK(MarketData!AB25),"",MarketData!AB25)</f>
        <v>22.86</v>
      </c>
      <c r="AC27" s="1">
        <f>IF(ISBLANK(MarketData!AC25),"",MarketData!AC25)</f>
        <v>0.01</v>
      </c>
      <c r="AD27" s="1">
        <f>IF(ISBLANK(MarketData!AD25),"",MarketData!AD25)</f>
        <v>23</v>
      </c>
      <c r="AE27" s="1">
        <f>IF(ISBLANK(MarketData!AE25),"",MarketData!AE25)</f>
        <v>0.01</v>
      </c>
      <c r="AF27" s="1">
        <f>IF(ISBLANK(MarketData!AF25),"",MarketData!AF25)</f>
        <v>22.85</v>
      </c>
      <c r="AG27" s="1">
        <f>IF(ISBLANK(MarketData!AG25),"",MarketData!AG25)</f>
        <v>0.01</v>
      </c>
      <c r="AH27" s="1">
        <f>IF(ISBLANK(MarketData!AH25),"",MarketData!AH25)</f>
        <v>23.01</v>
      </c>
      <c r="AI27" s="1">
        <f>IF(ISBLANK(MarketData!AI25),"",MarketData!AI25)</f>
        <v>0.01</v>
      </c>
      <c r="AJ27" s="1">
        <f>IF(ISBLANK(MarketData!AJ25),"",MarketData!AJ25)</f>
        <v>22.84</v>
      </c>
      <c r="AK27" s="1">
        <f>IF(ISBLANK(MarketData!AK25),"",MarketData!AK25)</f>
        <v>0.01</v>
      </c>
      <c r="AL27" s="1">
        <f>IF(ISBLANK(MarketData!AL25),"",MarketData!AL25)</f>
        <v>23.02</v>
      </c>
      <c r="AM27" s="1">
        <f>IF(ISBLANK(MarketData!AM25),"",MarketData!AM25)</f>
        <v>0.01</v>
      </c>
      <c r="AN27" s="1">
        <f>IF(ISBLANK(MarketData!AN25),"",MarketData!AN25)</f>
        <v>22.83</v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23.92</v>
      </c>
      <c r="E28" s="1">
        <f>IF(ISBLANK(MarketData!E26),"",MarketData!E26)</f>
        <v>1</v>
      </c>
      <c r="F28" s="1">
        <f>IF(ISBLANK(MarketData!F26),"",MarketData!F26)</f>
        <v>23.94</v>
      </c>
      <c r="G28" s="1">
        <f>IF(ISBLANK(MarketData!G26),"",MarketData!G26)</f>
        <v>0.01</v>
      </c>
      <c r="H28" s="1">
        <f>IF(ISBLANK(MarketData!H26),"",MarketData!H26)</f>
        <v>23.91</v>
      </c>
      <c r="I28" s="1">
        <f>IF(ISBLANK(MarketData!I26),"",MarketData!I26)</f>
        <v>0.01</v>
      </c>
      <c r="J28" s="1">
        <f>IF(ISBLANK(MarketData!J26),"",MarketData!J26)</f>
        <v>23.95</v>
      </c>
      <c r="K28" s="1">
        <f>IF(ISBLANK(MarketData!K26),"",MarketData!K26)</f>
        <v>0.01</v>
      </c>
      <c r="L28" s="1">
        <f>IF(ISBLANK(MarketData!L26),"",MarketData!L26)</f>
        <v>23.9</v>
      </c>
      <c r="M28" s="1">
        <f>IF(ISBLANK(MarketData!M26),"",MarketData!M26)</f>
        <v>0.01</v>
      </c>
      <c r="N28" s="1">
        <f>IF(ISBLANK(MarketData!N26),"",MarketData!N26)</f>
        <v>23.96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23.97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23.98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23.99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24.92</v>
      </c>
      <c r="E29" s="1">
        <f>IF(ISBLANK(MarketData!E27),"",MarketData!E27)</f>
        <v>1</v>
      </c>
      <c r="F29" s="1">
        <f>IF(ISBLANK(MarketData!F27),"",MarketData!F27)</f>
        <v>24.94</v>
      </c>
      <c r="G29" s="1">
        <f>IF(ISBLANK(MarketData!G27),"",MarketData!G27)</f>
        <v>0.01</v>
      </c>
      <c r="H29" s="1">
        <f>IF(ISBLANK(MarketData!H27),"",MarketData!H27)</f>
        <v>24.91</v>
      </c>
      <c r="I29" s="1" t="str">
        <f>IF(ISBLANK(MarketData!I27),"",MarketData!I27)</f>
        <v/>
      </c>
      <c r="J29" s="1" t="str">
        <f>IF(ISBLANK(MarketData!J27),"",MarketData!J27)</f>
        <v/>
      </c>
      <c r="K29" s="1">
        <f>IF(ISBLANK(MarketData!K27),"",MarketData!K27)</f>
        <v>0.01</v>
      </c>
      <c r="L29" s="1">
        <f>IF(ISBLANK(MarketData!L27),"",MarketData!L27)</f>
        <v>24.9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24.89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24.88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24.87</v>
      </c>
      <c r="Y29" s="1" t="str">
        <f>IF(ISBLANK(MarketData!Y27),"",MarketData!Y27)</f>
        <v/>
      </c>
      <c r="Z29" s="1" t="str">
        <f>IF(ISBLANK(MarketData!Z27),"",MarketData!Z27)</f>
        <v/>
      </c>
      <c r="AA29" s="1">
        <f>IF(ISBLANK(MarketData!AA27),"",MarketData!AA27)</f>
        <v>0.01</v>
      </c>
      <c r="AB29" s="1">
        <f>IF(ISBLANK(MarketData!AB27),"",MarketData!AB27)</f>
        <v>24.86</v>
      </c>
      <c r="AC29" s="1" t="str">
        <f>IF(ISBLANK(MarketData!AC27),"",MarketData!AC27)</f>
        <v/>
      </c>
      <c r="AD29" s="1" t="str">
        <f>IF(ISBLANK(MarketData!AD27),"",MarketData!AD27)</f>
        <v/>
      </c>
      <c r="AE29" s="1">
        <f>IF(ISBLANK(MarketData!AE27),"",MarketData!AE27)</f>
        <v>0.01</v>
      </c>
      <c r="AF29" s="1">
        <f>IF(ISBLANK(MarketData!AF27),"",MarketData!AF27)</f>
        <v>24.85</v>
      </c>
      <c r="AG29" s="1" t="str">
        <f>IF(ISBLANK(MarketData!AG27),"",MarketData!AG27)</f>
        <v/>
      </c>
      <c r="AH29" s="1" t="str">
        <f>IF(ISBLANK(MarketData!AH27),"",MarketData!AH27)</f>
        <v/>
      </c>
      <c r="AI29" s="1">
        <f>IF(ISBLANK(MarketData!AI27),"",MarketData!AI27)</f>
        <v>0.01</v>
      </c>
      <c r="AJ29" s="1">
        <f>IF(ISBLANK(MarketData!AJ27),"",MarketData!AJ27)</f>
        <v>24.84</v>
      </c>
      <c r="AK29" s="1" t="str">
        <f>IF(ISBLANK(MarketData!AK27),"",MarketData!AK27)</f>
        <v/>
      </c>
      <c r="AL29" s="1" t="str">
        <f>IF(ISBLANK(MarketData!AL27),"",MarketData!AL27)</f>
        <v/>
      </c>
      <c r="AM29" s="1">
        <f>IF(ISBLANK(MarketData!AM27),"",MarketData!AM27)</f>
        <v>0.01</v>
      </c>
      <c r="AN29" s="1">
        <f>IF(ISBLANK(MarketData!AN27),"",MarketData!AN27)</f>
        <v>24.83</v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25.89</v>
      </c>
      <c r="E30" s="1">
        <f>IF(ISBLANK(MarketData!E28),"",MarketData!E28)</f>
        <v>1</v>
      </c>
      <c r="F30" s="1">
        <f>IF(ISBLANK(MarketData!F28),"",MarketData!F28)</f>
        <v>25.91</v>
      </c>
      <c r="G30" s="1">
        <f>IF(ISBLANK(MarketData!G28),"",MarketData!G28)</f>
        <v>0.01</v>
      </c>
      <c r="H30" s="1">
        <f>IF(ISBLANK(MarketData!H28),"",MarketData!H28)</f>
        <v>25.88</v>
      </c>
      <c r="I30" s="1">
        <f>IF(ISBLANK(MarketData!I28),"",MarketData!I28)</f>
        <v>0.01</v>
      </c>
      <c r="J30" s="1">
        <f>IF(ISBLANK(MarketData!J28),"",MarketData!J28)</f>
        <v>25.92</v>
      </c>
      <c r="K30" s="1">
        <f>IF(ISBLANK(MarketData!K28),"",MarketData!K28)</f>
        <v>0.01</v>
      </c>
      <c r="L30" s="1">
        <f>IF(ISBLANK(MarketData!L28),"",MarketData!L28)</f>
        <v>25.87</v>
      </c>
      <c r="M30" s="1">
        <f>IF(ISBLANK(MarketData!M28),"",MarketData!M28)</f>
        <v>0.01</v>
      </c>
      <c r="N30" s="1">
        <f>IF(ISBLANK(MarketData!N28),"",MarketData!N28)</f>
        <v>25.93</v>
      </c>
      <c r="O30" s="1">
        <f>IF(ISBLANK(MarketData!O28),"",MarketData!O28)</f>
        <v>0.01</v>
      </c>
      <c r="P30" s="1">
        <f>IF(ISBLANK(MarketData!P28),"",MarketData!P28)</f>
        <v>25.86</v>
      </c>
      <c r="Q30" s="1">
        <f>IF(ISBLANK(MarketData!Q28),"",MarketData!Q28)</f>
        <v>0.01</v>
      </c>
      <c r="R30" s="1">
        <f>IF(ISBLANK(MarketData!R28),"",MarketData!R28)</f>
        <v>25.94</v>
      </c>
      <c r="S30" s="1">
        <f>IF(ISBLANK(MarketData!S28),"",MarketData!S28)</f>
        <v>0.01</v>
      </c>
      <c r="T30" s="1">
        <f>IF(ISBLANK(MarketData!T28),"",MarketData!T28)</f>
        <v>25.85</v>
      </c>
      <c r="U30" s="1">
        <f>IF(ISBLANK(MarketData!U28),"",MarketData!U28)</f>
        <v>0.01</v>
      </c>
      <c r="V30" s="1">
        <f>IF(ISBLANK(MarketData!V28),"",MarketData!V28)</f>
        <v>25.95</v>
      </c>
      <c r="W30" s="1" t="str">
        <f>IF(ISBLANK(MarketData!W28),"",MarketData!W28)</f>
        <v/>
      </c>
      <c r="X30" s="1" t="str">
        <f>IF(ISBLANK(MarketData!X28),"",MarketData!X28)</f>
        <v/>
      </c>
      <c r="Y30" s="1">
        <f>IF(ISBLANK(MarketData!Y28),"",MarketData!Y28)</f>
        <v>0.01</v>
      </c>
      <c r="Z30" s="1">
        <f>IF(ISBLANK(MarketData!Z28),"",MarketData!Z28)</f>
        <v>25.96</v>
      </c>
      <c r="AA30" s="1" t="str">
        <f>IF(ISBLANK(MarketData!AA28),"",MarketData!AA28)</f>
        <v/>
      </c>
      <c r="AB30" s="1" t="str">
        <f>IF(ISBLANK(MarketData!AB28),"",MarketData!AB28)</f>
        <v/>
      </c>
      <c r="AC30" s="1">
        <f>IF(ISBLANK(MarketData!AC28),"",MarketData!AC28)</f>
        <v>0.01</v>
      </c>
      <c r="AD30" s="1">
        <f>IF(ISBLANK(MarketData!AD28),"",MarketData!AD28)</f>
        <v>25.97</v>
      </c>
      <c r="AE30" s="1" t="str">
        <f>IF(ISBLANK(MarketData!AE28),"",MarketData!AE28)</f>
        <v/>
      </c>
      <c r="AF30" s="1" t="str">
        <f>IF(ISBLANK(MarketData!AF28),"",MarketData!AF28)</f>
        <v/>
      </c>
      <c r="AG30" s="1">
        <f>IF(ISBLANK(MarketData!AG28),"",MarketData!AG28)</f>
        <v>0.01</v>
      </c>
      <c r="AH30" s="1">
        <f>IF(ISBLANK(MarketData!AH28),"",MarketData!AH28)</f>
        <v>25.98</v>
      </c>
      <c r="AI30" s="1" t="str">
        <f>IF(ISBLANK(MarketData!AI28),"",MarketData!AI28)</f>
        <v/>
      </c>
      <c r="AJ30" s="1" t="str">
        <f>IF(ISBLANK(MarketData!AJ28),"",MarketData!AJ28)</f>
        <v/>
      </c>
      <c r="AK30" s="1">
        <f>IF(ISBLANK(MarketData!AK28),"",MarketData!AK28)</f>
        <v>0.01</v>
      </c>
      <c r="AL30" s="1">
        <f>IF(ISBLANK(MarketData!AL28),"",MarketData!AL28)</f>
        <v>25.99</v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26.92</v>
      </c>
      <c r="E31" s="1">
        <f>IF(ISBLANK(MarketData!E29),"",MarketData!E29)</f>
        <v>1</v>
      </c>
      <c r="F31" s="1">
        <f>IF(ISBLANK(MarketData!F29),"",MarketData!F29)</f>
        <v>26.94</v>
      </c>
      <c r="G31" s="1">
        <f>IF(ISBLANK(MarketData!G29),"",MarketData!G29)</f>
        <v>0.01</v>
      </c>
      <c r="H31" s="1">
        <f>IF(ISBLANK(MarketData!H29),"",MarketData!H29)</f>
        <v>26.91</v>
      </c>
      <c r="I31" s="1">
        <f>IF(ISBLANK(MarketData!I29),"",MarketData!I29)</f>
        <v>0.01</v>
      </c>
      <c r="J31" s="1">
        <f>IF(ISBLANK(MarketData!J29),"",MarketData!J29)</f>
        <v>26.95</v>
      </c>
      <c r="K31" s="1">
        <f>IF(ISBLANK(MarketData!K29),"",MarketData!K29)</f>
        <v>0.01</v>
      </c>
      <c r="L31" s="1">
        <f>IF(ISBLANK(MarketData!L29),"",MarketData!L29)</f>
        <v>26.9</v>
      </c>
      <c r="M31" s="1">
        <f>IF(ISBLANK(MarketData!M29),"",MarketData!M29)</f>
        <v>0.01</v>
      </c>
      <c r="N31" s="1">
        <f>IF(ISBLANK(MarketData!N29),"",MarketData!N29)</f>
        <v>26.96</v>
      </c>
      <c r="O31" s="1">
        <f>IF(ISBLANK(MarketData!O29),"",MarketData!O29)</f>
        <v>0.01</v>
      </c>
      <c r="P31" s="1">
        <f>IF(ISBLANK(MarketData!P29),"",MarketData!P29)</f>
        <v>26.89</v>
      </c>
      <c r="Q31" s="1">
        <f>IF(ISBLANK(MarketData!Q29),"",MarketData!Q29)</f>
        <v>0.01</v>
      </c>
      <c r="R31" s="1">
        <f>IF(ISBLANK(MarketData!R29),"",MarketData!R29)</f>
        <v>26.97</v>
      </c>
      <c r="S31" s="1">
        <f>IF(ISBLANK(MarketData!S29),"",MarketData!S29)</f>
        <v>0.01</v>
      </c>
      <c r="T31" s="1">
        <f>IF(ISBLANK(MarketData!T29),"",MarketData!T29)</f>
        <v>26.88</v>
      </c>
      <c r="U31" s="1">
        <f>IF(ISBLANK(MarketData!U29),"",MarketData!U29)</f>
        <v>0.01</v>
      </c>
      <c r="V31" s="1">
        <f>IF(ISBLANK(MarketData!V29),"",MarketData!V29)</f>
        <v>26.98</v>
      </c>
      <c r="W31" s="1">
        <f>IF(ISBLANK(MarketData!W29),"",MarketData!W29)</f>
        <v>0.01</v>
      </c>
      <c r="X31" s="1">
        <f>IF(ISBLANK(MarketData!X29),"",MarketData!X29)</f>
        <v>26.87</v>
      </c>
      <c r="Y31" s="1">
        <f>IF(ISBLANK(MarketData!Y29),"",MarketData!Y29)</f>
        <v>0.01</v>
      </c>
      <c r="Z31" s="1">
        <f>IF(ISBLANK(MarketData!Z29),"",MarketData!Z29)</f>
        <v>26.99</v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27.92</v>
      </c>
      <c r="E32" s="1">
        <f>IF(ISBLANK(MarketData!E30),"",MarketData!E30)</f>
        <v>1</v>
      </c>
      <c r="F32" s="1">
        <f>IF(ISBLANK(MarketData!F30),"",MarketData!F30)</f>
        <v>27.94</v>
      </c>
      <c r="G32" s="1">
        <f>IF(ISBLANK(MarketData!G30),"",MarketData!G30)</f>
        <v>0.01</v>
      </c>
      <c r="H32" s="1">
        <f>IF(ISBLANK(MarketData!H30),"",MarketData!H30)</f>
        <v>27.91</v>
      </c>
      <c r="I32" s="1">
        <f>IF(ISBLANK(MarketData!I30),"",MarketData!I30)</f>
        <v>0.01</v>
      </c>
      <c r="J32" s="1">
        <f>IF(ISBLANK(MarketData!J30),"",MarketData!J30)</f>
        <v>27.95</v>
      </c>
      <c r="K32" s="1">
        <f>IF(ISBLANK(MarketData!K30),"",MarketData!K30)</f>
        <v>0.01</v>
      </c>
      <c r="L32" s="1">
        <f>IF(ISBLANK(MarketData!L30),"",MarketData!L30)</f>
        <v>27.9</v>
      </c>
      <c r="M32" s="1">
        <f>IF(ISBLANK(MarketData!M30),"",MarketData!M30)</f>
        <v>0.01</v>
      </c>
      <c r="N32" s="1">
        <f>IF(ISBLANK(MarketData!N30),"",MarketData!N30)</f>
        <v>27.96</v>
      </c>
      <c r="O32" s="1">
        <f>IF(ISBLANK(MarketData!O30),"",MarketData!O30)</f>
        <v>0.01</v>
      </c>
      <c r="P32" s="1">
        <f>IF(ISBLANK(MarketData!P30),"",MarketData!P30)</f>
        <v>27.89</v>
      </c>
      <c r="Q32" s="1">
        <f>IF(ISBLANK(MarketData!Q30),"",MarketData!Q30)</f>
        <v>0.01</v>
      </c>
      <c r="R32" s="1">
        <f>IF(ISBLANK(MarketData!R30),"",MarketData!R30)</f>
        <v>27.97</v>
      </c>
      <c r="S32" s="1">
        <f>IF(ISBLANK(MarketData!S30),"",MarketData!S30)</f>
        <v>0.01</v>
      </c>
      <c r="T32" s="1">
        <f>IF(ISBLANK(MarketData!T30),"",MarketData!T30)</f>
        <v>27.88</v>
      </c>
      <c r="U32" s="1">
        <f>IF(ISBLANK(MarketData!U30),"",MarketData!U30)</f>
        <v>0.01</v>
      </c>
      <c r="V32" s="1">
        <f>IF(ISBLANK(MarketData!V30),"",MarketData!V30)</f>
        <v>27.98</v>
      </c>
      <c r="W32" s="1">
        <f>IF(ISBLANK(MarketData!W30),"",MarketData!W30)</f>
        <v>0.01</v>
      </c>
      <c r="X32" s="1">
        <f>IF(ISBLANK(MarketData!X30),"",MarketData!X30)</f>
        <v>27.87</v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28.92</v>
      </c>
      <c r="E33" s="1">
        <f>IF(ISBLANK(MarketData!E31),"",MarketData!E31)</f>
        <v>1</v>
      </c>
      <c r="F33" s="1">
        <f>IF(ISBLANK(MarketData!F31),"",MarketData!F31)</f>
        <v>28.94</v>
      </c>
      <c r="G33" s="1">
        <f>IF(ISBLANK(MarketData!G31),"",MarketData!G31)</f>
        <v>0.01</v>
      </c>
      <c r="H33" s="1">
        <f>IF(ISBLANK(MarketData!H31),"",MarketData!H31)</f>
        <v>28.91</v>
      </c>
      <c r="I33" s="1">
        <f>IF(ISBLANK(MarketData!I31),"",MarketData!I31)</f>
        <v>0.01</v>
      </c>
      <c r="J33" s="1">
        <f>IF(ISBLANK(MarketData!J31),"",MarketData!J31)</f>
        <v>28.95</v>
      </c>
      <c r="K33" s="1">
        <f>IF(ISBLANK(MarketData!K31),"",MarketData!K31)</f>
        <v>0.01</v>
      </c>
      <c r="L33" s="1">
        <f>IF(ISBLANK(MarketData!L31),"",MarketData!L31)</f>
        <v>28.9</v>
      </c>
      <c r="M33" s="1">
        <f>IF(ISBLANK(MarketData!M31),"",MarketData!M31)</f>
        <v>0.01</v>
      </c>
      <c r="N33" s="1">
        <f>IF(ISBLANK(MarketData!N31),"",MarketData!N31)</f>
        <v>28.96</v>
      </c>
      <c r="O33" s="1">
        <f>IF(ISBLANK(MarketData!O31),"",MarketData!O31)</f>
        <v>0.01</v>
      </c>
      <c r="P33" s="1">
        <f>IF(ISBLANK(MarketData!P31),"",MarketData!P31)</f>
        <v>28.89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28.88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28.87</v>
      </c>
      <c r="Y33" s="1" t="str">
        <f>IF(ISBLANK(MarketData!Y31),"",MarketData!Y31)</f>
        <v/>
      </c>
      <c r="Z33" s="1" t="str">
        <f>IF(ISBLANK(MarketData!Z31),"",MarketData!Z31)</f>
        <v/>
      </c>
      <c r="AA33" s="1">
        <f>IF(ISBLANK(MarketData!AA31),"",MarketData!AA31)</f>
        <v>0.01</v>
      </c>
      <c r="AB33" s="1">
        <f>IF(ISBLANK(MarketData!AB31),"",MarketData!AB31)</f>
        <v>28.86</v>
      </c>
      <c r="AC33" s="1" t="str">
        <f>IF(ISBLANK(MarketData!AC31),"",MarketData!AC31)</f>
        <v/>
      </c>
      <c r="AD33" s="1" t="str">
        <f>IF(ISBLANK(MarketData!AD31),"",MarketData!AD31)</f>
        <v/>
      </c>
      <c r="AE33" s="1">
        <f>IF(ISBLANK(MarketData!AE31),"",MarketData!AE31)</f>
        <v>0.01</v>
      </c>
      <c r="AF33" s="1">
        <f>IF(ISBLANK(MarketData!AF31),"",MarketData!AF31)</f>
        <v>28.85</v>
      </c>
      <c r="AG33" s="1" t="str">
        <f>IF(ISBLANK(MarketData!AG31),"",MarketData!AG31)</f>
        <v/>
      </c>
      <c r="AH33" s="1" t="str">
        <f>IF(ISBLANK(MarketData!AH31),"",MarketData!AH31)</f>
        <v/>
      </c>
      <c r="AI33" s="1">
        <f>IF(ISBLANK(MarketData!AI31),"",MarketData!AI31)</f>
        <v>0.01</v>
      </c>
      <c r="AJ33" s="1">
        <f>IF(ISBLANK(MarketData!AJ31),"",MarketData!AJ31)</f>
        <v>28.84</v>
      </c>
      <c r="AK33" s="1" t="str">
        <f>IF(ISBLANK(MarketData!AK31),"",MarketData!AK31)</f>
        <v/>
      </c>
      <c r="AL33" s="1" t="str">
        <f>IF(ISBLANK(MarketData!AL31),"",MarketData!AL31)</f>
        <v/>
      </c>
      <c r="AM33" s="1">
        <f>IF(ISBLANK(MarketData!AM31),"",MarketData!AM31)</f>
        <v>0.01</v>
      </c>
      <c r="AN33" s="1">
        <f>IF(ISBLANK(MarketData!AN31),"",MarketData!AN31)</f>
        <v>28.83</v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29.89</v>
      </c>
      <c r="E34" s="1">
        <f>IF(ISBLANK(MarketData!E32),"",MarketData!E32)</f>
        <v>1</v>
      </c>
      <c r="F34" s="1">
        <f>IF(ISBLANK(MarketData!F32),"",MarketData!F32)</f>
        <v>29.91</v>
      </c>
      <c r="G34" s="1">
        <f>IF(ISBLANK(MarketData!G32),"",MarketData!G32)</f>
        <v>0.01</v>
      </c>
      <c r="H34" s="1">
        <f>IF(ISBLANK(MarketData!H32),"",MarketData!H32)</f>
        <v>29.88</v>
      </c>
      <c r="I34" s="1">
        <f>IF(ISBLANK(MarketData!I32),"",MarketData!I32)</f>
        <v>0.01</v>
      </c>
      <c r="J34" s="1">
        <f>IF(ISBLANK(MarketData!J32),"",MarketData!J32)</f>
        <v>29.92</v>
      </c>
      <c r="K34" s="1">
        <f>IF(ISBLANK(MarketData!K32),"",MarketData!K32)</f>
        <v>0.01</v>
      </c>
      <c r="L34" s="1">
        <f>IF(ISBLANK(MarketData!L32),"",MarketData!L32)</f>
        <v>29.87</v>
      </c>
      <c r="M34" s="1" t="str">
        <f>IF(ISBLANK(MarketData!M32),"",MarketData!M32)</f>
        <v/>
      </c>
      <c r="N34" s="1" t="str">
        <f>IF(ISBLANK(MarketData!N32),"",MarketData!N32)</f>
        <v/>
      </c>
      <c r="O34" s="1">
        <f>IF(ISBLANK(MarketData!O32),"",MarketData!O32)</f>
        <v>0.01</v>
      </c>
      <c r="P34" s="1">
        <f>IF(ISBLANK(MarketData!P32),"",MarketData!P32)</f>
        <v>29.86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29.85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29.84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29.83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29.82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29.81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30.89</v>
      </c>
      <c r="E35" s="1">
        <f>IF(ISBLANK(MarketData!E33),"",MarketData!E33)</f>
        <v>1</v>
      </c>
      <c r="F35" s="1">
        <f>IF(ISBLANK(MarketData!F33),"",MarketData!F33)</f>
        <v>30.91</v>
      </c>
      <c r="G35" s="1">
        <f>IF(ISBLANK(MarketData!G33),"",MarketData!G33)</f>
        <v>0.01</v>
      </c>
      <c r="H35" s="1">
        <f>IF(ISBLANK(MarketData!H33),"",MarketData!H33)</f>
        <v>30.88</v>
      </c>
      <c r="I35" s="1">
        <f>IF(ISBLANK(MarketData!I33),"",MarketData!I33)</f>
        <v>0.01</v>
      </c>
      <c r="J35" s="1">
        <f>IF(ISBLANK(MarketData!J33),"",MarketData!J33)</f>
        <v>30.92</v>
      </c>
      <c r="K35" s="1">
        <f>IF(ISBLANK(MarketData!K33),"",MarketData!K33)</f>
        <v>0.01</v>
      </c>
      <c r="L35" s="1">
        <f>IF(ISBLANK(MarketData!L33),"",MarketData!L33)</f>
        <v>30.87</v>
      </c>
      <c r="M35" s="1">
        <f>IF(ISBLANK(MarketData!M33),"",MarketData!M33)</f>
        <v>0.01</v>
      </c>
      <c r="N35" s="1">
        <f>IF(ISBLANK(MarketData!N33),"",MarketData!N33)</f>
        <v>30.93</v>
      </c>
      <c r="O35" s="1">
        <f>IF(ISBLANK(MarketData!O33),"",MarketData!O33)</f>
        <v>0.01</v>
      </c>
      <c r="P35" s="1">
        <f>IF(ISBLANK(MarketData!P33),"",MarketData!P33)</f>
        <v>30.86</v>
      </c>
      <c r="Q35" s="1">
        <f>IF(ISBLANK(MarketData!Q33),"",MarketData!Q33)</f>
        <v>0.01</v>
      </c>
      <c r="R35" s="1">
        <f>IF(ISBLANK(MarketData!R33),"",MarketData!R33)</f>
        <v>30.94</v>
      </c>
      <c r="S35" s="1">
        <f>IF(ISBLANK(MarketData!S33),"",MarketData!S33)</f>
        <v>0.01</v>
      </c>
      <c r="T35" s="1">
        <f>IF(ISBLANK(MarketData!T33),"",MarketData!T33)</f>
        <v>30.85</v>
      </c>
      <c r="U35" s="1">
        <f>IF(ISBLANK(MarketData!U33),"",MarketData!U33)</f>
        <v>0.01</v>
      </c>
      <c r="V35" s="1">
        <f>IF(ISBLANK(MarketData!V33),"",MarketData!V33)</f>
        <v>30.95</v>
      </c>
      <c r="W35" s="1">
        <f>IF(ISBLANK(MarketData!W33),"",MarketData!W33)</f>
        <v>0.01</v>
      </c>
      <c r="X35" s="1">
        <f>IF(ISBLANK(MarketData!X33),"",MarketData!X33)</f>
        <v>30.84</v>
      </c>
      <c r="Y35" s="1">
        <f>IF(ISBLANK(MarketData!Y33),"",MarketData!Y33)</f>
        <v>0.01</v>
      </c>
      <c r="Z35" s="1">
        <f>IF(ISBLANK(MarketData!Z33),"",MarketData!Z33)</f>
        <v>30.96</v>
      </c>
      <c r="AA35" s="1" t="str">
        <f>IF(ISBLANK(MarketData!AA33),"",MarketData!AA33)</f>
        <v/>
      </c>
      <c r="AB35" s="1" t="str">
        <f>IF(ISBLANK(MarketData!AB33),"",MarketData!AB33)</f>
        <v/>
      </c>
      <c r="AC35" s="1">
        <f>IF(ISBLANK(MarketData!AC33),"",MarketData!AC33)</f>
        <v>0.01</v>
      </c>
      <c r="AD35" s="1">
        <f>IF(ISBLANK(MarketData!AD33),"",MarketData!AD33)</f>
        <v>30.97</v>
      </c>
      <c r="AE35" s="1" t="str">
        <f>IF(ISBLANK(MarketData!AE33),"",MarketData!AE33)</f>
        <v/>
      </c>
      <c r="AF35" s="1" t="str">
        <f>IF(ISBLANK(MarketData!AF33),"",MarketData!AF33)</f>
        <v/>
      </c>
      <c r="AG35" s="1">
        <f>IF(ISBLANK(MarketData!AG33),"",MarketData!AG33)</f>
        <v>0.01</v>
      </c>
      <c r="AH35" s="1">
        <f>IF(ISBLANK(MarketData!AH33),"",MarketData!AH33)</f>
        <v>30.98</v>
      </c>
      <c r="AI35" s="1" t="str">
        <f>IF(ISBLANK(MarketData!AI33),"",MarketData!AI33)</f>
        <v/>
      </c>
      <c r="AJ35" s="1" t="str">
        <f>IF(ISBLANK(MarketData!AJ33),"",MarketData!AJ33)</f>
        <v/>
      </c>
      <c r="AK35" s="1">
        <f>IF(ISBLANK(MarketData!AK33),"",MarketData!AK33)</f>
        <v>0.01</v>
      </c>
      <c r="AL35" s="1">
        <f>IF(ISBLANK(MarketData!AL33),"",MarketData!AL33)</f>
        <v>30.99</v>
      </c>
      <c r="AM35" s="1" t="str">
        <f>IF(ISBLANK(MarketData!AM33),"",MarketData!AM33)</f>
        <v/>
      </c>
      <c r="AN35" s="1" t="str">
        <f>IF(ISBLANK(MarketData!AN33),"",MarketData!AN33)</f>
        <v/>
      </c>
      <c r="AO35" s="1">
        <f>IF(ISBLANK(MarketData!AO33),"",MarketData!AO33)</f>
        <v>0.01</v>
      </c>
      <c r="AP35" s="1">
        <f>IF(ISBLANK(MarketData!AP33),"",MarketData!AP33)</f>
        <v>31</v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31.89</v>
      </c>
      <c r="E36" s="1">
        <f>IF(ISBLANK(MarketData!E34),"",MarketData!E34)</f>
        <v>1</v>
      </c>
      <c r="F36" s="1">
        <f>IF(ISBLANK(MarketData!F34),"",MarketData!F34)</f>
        <v>31.91</v>
      </c>
      <c r="G36" s="1">
        <f>IF(ISBLANK(MarketData!G34),"",MarketData!G34)</f>
        <v>0.01</v>
      </c>
      <c r="H36" s="1">
        <f>IF(ISBLANK(MarketData!H34),"",MarketData!H34)</f>
        <v>31.88</v>
      </c>
      <c r="I36" s="1">
        <f>IF(ISBLANK(MarketData!I34),"",MarketData!I34)</f>
        <v>0.01</v>
      </c>
      <c r="J36" s="1">
        <f>IF(ISBLANK(MarketData!J34),"",MarketData!J34)</f>
        <v>31.92</v>
      </c>
      <c r="K36" s="1">
        <f>IF(ISBLANK(MarketData!K34),"",MarketData!K34)</f>
        <v>0.01</v>
      </c>
      <c r="L36" s="1">
        <f>IF(ISBLANK(MarketData!L34),"",MarketData!L34)</f>
        <v>31.87</v>
      </c>
      <c r="M36" s="1">
        <f>IF(ISBLANK(MarketData!M34),"",MarketData!M34)</f>
        <v>0.01</v>
      </c>
      <c r="N36" s="1">
        <f>IF(ISBLANK(MarketData!N34),"",MarketData!N34)</f>
        <v>31.93</v>
      </c>
      <c r="O36" s="1">
        <f>IF(ISBLANK(MarketData!O34),"",MarketData!O34)</f>
        <v>0.01</v>
      </c>
      <c r="P36" s="1">
        <f>IF(ISBLANK(MarketData!P34),"",MarketData!P34)</f>
        <v>31.86</v>
      </c>
      <c r="Q36" s="1">
        <f>IF(ISBLANK(MarketData!Q34),"",MarketData!Q34)</f>
        <v>0.01</v>
      </c>
      <c r="R36" s="1">
        <f>IF(ISBLANK(MarketData!R34),"",MarketData!R34)</f>
        <v>31.94</v>
      </c>
      <c r="S36" s="1" t="str">
        <f>IF(ISBLANK(MarketData!S34),"",MarketData!S34)</f>
        <v/>
      </c>
      <c r="T36" s="1" t="str">
        <f>IF(ISBLANK(MarketData!T34),"",MarketData!T34)</f>
        <v/>
      </c>
      <c r="U36" s="1">
        <f>IF(ISBLANK(MarketData!U34),"",MarketData!U34)</f>
        <v>0.01</v>
      </c>
      <c r="V36" s="1">
        <f>IF(ISBLANK(MarketData!V34),"",MarketData!V34)</f>
        <v>31.95</v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32.92</v>
      </c>
      <c r="E37" s="1">
        <f>IF(ISBLANK(MarketData!E35),"",MarketData!E35)</f>
        <v>1</v>
      </c>
      <c r="F37" s="1">
        <f>IF(ISBLANK(MarketData!F35),"",MarketData!F35)</f>
        <v>32.94</v>
      </c>
      <c r="G37" s="1">
        <f>IF(ISBLANK(MarketData!G35),"",MarketData!G35)</f>
        <v>0.01</v>
      </c>
      <c r="H37" s="1">
        <f>IF(ISBLANK(MarketData!H35),"",MarketData!H35)</f>
        <v>32.909999999999997</v>
      </c>
      <c r="I37" s="1" t="str">
        <f>IF(ISBLANK(MarketData!I35),"",MarketData!I35)</f>
        <v/>
      </c>
      <c r="J37" s="1" t="str">
        <f>IF(ISBLANK(MarketData!J35),"",MarketData!J35)</f>
        <v/>
      </c>
      <c r="K37" s="1">
        <f>IF(ISBLANK(MarketData!K35),"",MarketData!K35)</f>
        <v>0.01</v>
      </c>
      <c r="L37" s="1">
        <f>IF(ISBLANK(MarketData!L35),"",MarketData!L35)</f>
        <v>32.9</v>
      </c>
      <c r="M37" s="1" t="str">
        <f>IF(ISBLANK(MarketData!M35),"",MarketData!M35)</f>
        <v/>
      </c>
      <c r="N37" s="1" t="str">
        <f>IF(ISBLANK(MarketData!N35),"",MarketData!N35)</f>
        <v/>
      </c>
      <c r="O37" s="1">
        <f>IF(ISBLANK(MarketData!O35),"",MarketData!O35)</f>
        <v>0.01</v>
      </c>
      <c r="P37" s="1">
        <f>IF(ISBLANK(MarketData!P35),"",MarketData!P35)</f>
        <v>32.89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33.92</v>
      </c>
      <c r="E38" s="1">
        <f>IF(ISBLANK(MarketData!E36),"",MarketData!E36)</f>
        <v>1</v>
      </c>
      <c r="F38" s="1">
        <f>IF(ISBLANK(MarketData!F36),"",MarketData!F36)</f>
        <v>33.94</v>
      </c>
      <c r="G38" s="1">
        <f>IF(ISBLANK(MarketData!G36),"",MarketData!G36)</f>
        <v>0.01</v>
      </c>
      <c r="H38" s="1">
        <f>IF(ISBLANK(MarketData!H36),"",MarketData!H36)</f>
        <v>33.909999999999997</v>
      </c>
      <c r="I38" s="1" t="str">
        <f>IF(ISBLANK(MarketData!I36),"",MarketData!I36)</f>
        <v/>
      </c>
      <c r="J38" s="1" t="str">
        <f>IF(ISBLANK(MarketData!J36),"",MarketData!J36)</f>
        <v/>
      </c>
      <c r="K38" s="1">
        <f>IF(ISBLANK(MarketData!K36),"",MarketData!K36)</f>
        <v>0.01</v>
      </c>
      <c r="L38" s="1">
        <f>IF(ISBLANK(MarketData!L36),"",MarketData!L36)</f>
        <v>33.9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33.89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33.880000000000003</v>
      </c>
      <c r="U38" s="1" t="str">
        <f>IF(ISBLANK(MarketData!U36),"",MarketData!U36)</f>
        <v/>
      </c>
      <c r="V38" s="1" t="str">
        <f>IF(ISBLANK(MarketData!V36),"",MarketData!V36)</f>
        <v/>
      </c>
      <c r="W38" s="1">
        <f>IF(ISBLANK(MarketData!W36),"",MarketData!W36)</f>
        <v>0.01</v>
      </c>
      <c r="X38" s="1">
        <f>IF(ISBLANK(MarketData!X36),"",MarketData!X36)</f>
        <v>33.869999999999997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33.86</v>
      </c>
      <c r="AC38" s="1" t="str">
        <f>IF(ISBLANK(MarketData!AC36),"",MarketData!AC36)</f>
        <v/>
      </c>
      <c r="AD38" s="1" t="str">
        <f>IF(ISBLANK(MarketData!AD36),"",MarketData!AD36)</f>
        <v/>
      </c>
      <c r="AE38" s="1">
        <f>IF(ISBLANK(MarketData!AE36),"",MarketData!AE36)</f>
        <v>0.01</v>
      </c>
      <c r="AF38" s="1">
        <f>IF(ISBLANK(MarketData!AF36),"",MarketData!AF36)</f>
        <v>33.85</v>
      </c>
      <c r="AG38" s="1" t="str">
        <f>IF(ISBLANK(MarketData!AG36),"",MarketData!AG36)</f>
        <v/>
      </c>
      <c r="AH38" s="1" t="str">
        <f>IF(ISBLANK(MarketData!AH36),"",MarketData!AH36)</f>
        <v/>
      </c>
      <c r="AI38" s="1">
        <f>IF(ISBLANK(MarketData!AI36),"",MarketData!AI36)</f>
        <v>0.01</v>
      </c>
      <c r="AJ38" s="1">
        <f>IF(ISBLANK(MarketData!AJ36),"",MarketData!AJ36)</f>
        <v>33.840000000000003</v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34.89</v>
      </c>
      <c r="E39" s="1">
        <f>IF(ISBLANK(MarketData!E37),"",MarketData!E37)</f>
        <v>1</v>
      </c>
      <c r="F39" s="1">
        <f>IF(ISBLANK(MarketData!F37),"",MarketData!F37)</f>
        <v>34.909999999999997</v>
      </c>
      <c r="G39" s="1">
        <f>IF(ISBLANK(MarketData!G37),"",MarketData!G37)</f>
        <v>0.01</v>
      </c>
      <c r="H39" s="1">
        <f>IF(ISBLANK(MarketData!H37),"",MarketData!H37)</f>
        <v>34.880000000000003</v>
      </c>
      <c r="I39" s="1">
        <f>IF(ISBLANK(MarketData!I37),"",MarketData!I37)</f>
        <v>0.01</v>
      </c>
      <c r="J39" s="1">
        <f>IF(ISBLANK(MarketData!J37),"",MarketData!J37)</f>
        <v>34.92</v>
      </c>
      <c r="K39" s="1">
        <f>IF(ISBLANK(MarketData!K37),"",MarketData!K37)</f>
        <v>0.01</v>
      </c>
      <c r="L39" s="1">
        <f>IF(ISBLANK(MarketData!L37),"",MarketData!L37)</f>
        <v>34.869999999999997</v>
      </c>
      <c r="M39" s="1">
        <f>IF(ISBLANK(MarketData!M37),"",MarketData!M37)</f>
        <v>0.01</v>
      </c>
      <c r="N39" s="1">
        <f>IF(ISBLANK(MarketData!N37),"",MarketData!N37)</f>
        <v>34.93</v>
      </c>
      <c r="O39" s="1">
        <f>IF(ISBLANK(MarketData!O37),"",MarketData!O37)</f>
        <v>0.01</v>
      </c>
      <c r="P39" s="1">
        <f>IF(ISBLANK(MarketData!P37),"",MarketData!P37)</f>
        <v>34.86</v>
      </c>
      <c r="Q39" s="1">
        <f>IF(ISBLANK(MarketData!Q37),"",MarketData!Q37)</f>
        <v>0.01</v>
      </c>
      <c r="R39" s="1">
        <f>IF(ISBLANK(MarketData!R37),"",MarketData!R37)</f>
        <v>34.94</v>
      </c>
      <c r="S39" s="1">
        <f>IF(ISBLANK(MarketData!S37),"",MarketData!S37)</f>
        <v>0.01</v>
      </c>
      <c r="T39" s="1">
        <f>IF(ISBLANK(MarketData!T37),"",MarketData!T37)</f>
        <v>34.85</v>
      </c>
      <c r="U39" s="1">
        <f>IF(ISBLANK(MarketData!U37),"",MarketData!U37)</f>
        <v>0.01</v>
      </c>
      <c r="V39" s="1">
        <f>IF(ISBLANK(MarketData!V37),"",MarketData!V37)</f>
        <v>34.950000000000003</v>
      </c>
      <c r="W39" s="1">
        <f>IF(ISBLANK(MarketData!W37),"",MarketData!W37)</f>
        <v>0.01</v>
      </c>
      <c r="X39" s="1">
        <f>IF(ISBLANK(MarketData!X37),"",MarketData!X37)</f>
        <v>34.840000000000003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34.83</v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35.89</v>
      </c>
      <c r="E40" s="1">
        <f>IF(ISBLANK(MarketData!E38),"",MarketData!E38)</f>
        <v>1</v>
      </c>
      <c r="F40" s="1">
        <f>IF(ISBLANK(MarketData!F38),"",MarketData!F38)</f>
        <v>35.909999999999997</v>
      </c>
      <c r="G40" s="1">
        <f>IF(ISBLANK(MarketData!G38),"",MarketData!G38)</f>
        <v>0.01</v>
      </c>
      <c r="H40" s="1">
        <f>IF(ISBLANK(MarketData!H38),"",MarketData!H38)</f>
        <v>35.880000000000003</v>
      </c>
      <c r="I40" s="1">
        <f>IF(ISBLANK(MarketData!I38),"",MarketData!I38)</f>
        <v>0.01</v>
      </c>
      <c r="J40" s="1">
        <f>IF(ISBLANK(MarketData!J38),"",MarketData!J38)</f>
        <v>35.92</v>
      </c>
      <c r="K40" s="1">
        <f>IF(ISBLANK(MarketData!K38),"",MarketData!K38)</f>
        <v>0.01</v>
      </c>
      <c r="L40" s="1">
        <f>IF(ISBLANK(MarketData!L38),"",MarketData!L38)</f>
        <v>35.869999999999997</v>
      </c>
      <c r="M40" s="1">
        <f>IF(ISBLANK(MarketData!M38),"",MarketData!M38)</f>
        <v>0.01</v>
      </c>
      <c r="N40" s="1">
        <f>IF(ISBLANK(MarketData!N38),"",MarketData!N38)</f>
        <v>35.93</v>
      </c>
      <c r="O40" s="1" t="str">
        <f>IF(ISBLANK(MarketData!O38),"",MarketData!O38)</f>
        <v/>
      </c>
      <c r="P40" s="1" t="str">
        <f>IF(ISBLANK(MarketData!P38),"",MarketData!P38)</f>
        <v/>
      </c>
      <c r="Q40" s="1">
        <f>IF(ISBLANK(MarketData!Q38),"",MarketData!Q38)</f>
        <v>0.01</v>
      </c>
      <c r="R40" s="1">
        <f>IF(ISBLANK(MarketData!R38),"",MarketData!R38)</f>
        <v>35.94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35.950000000000003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35.96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35.97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35.979999999999997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35.99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36.89</v>
      </c>
      <c r="E41" s="1">
        <f>IF(ISBLANK(MarketData!E39),"",MarketData!E39)</f>
        <v>1</v>
      </c>
      <c r="F41" s="1">
        <f>IF(ISBLANK(MarketData!F39),"",MarketData!F39)</f>
        <v>36.909999999999997</v>
      </c>
      <c r="G41" s="1">
        <f>IF(ISBLANK(MarketData!G39),"",MarketData!G39)</f>
        <v>0.01</v>
      </c>
      <c r="H41" s="1">
        <f>IF(ISBLANK(MarketData!H39),"",MarketData!H39)</f>
        <v>36.880000000000003</v>
      </c>
      <c r="I41" s="1">
        <f>IF(ISBLANK(MarketData!I39),"",MarketData!I39)</f>
        <v>0.01</v>
      </c>
      <c r="J41" s="1">
        <f>IF(ISBLANK(MarketData!J39),"",MarketData!J39)</f>
        <v>36.92</v>
      </c>
      <c r="K41" s="1">
        <f>IF(ISBLANK(MarketData!K39),"",MarketData!K39)</f>
        <v>0.01</v>
      </c>
      <c r="L41" s="1">
        <f>IF(ISBLANK(MarketData!L39),"",MarketData!L39)</f>
        <v>36.869999999999997</v>
      </c>
      <c r="M41" s="1">
        <f>IF(ISBLANK(MarketData!M39),"",MarketData!M39)</f>
        <v>0.01</v>
      </c>
      <c r="N41" s="1">
        <f>IF(ISBLANK(MarketData!N39),"",MarketData!N39)</f>
        <v>36.93</v>
      </c>
      <c r="O41" s="1">
        <f>IF(ISBLANK(MarketData!O39),"",MarketData!O39)</f>
        <v>0.01</v>
      </c>
      <c r="P41" s="1">
        <f>IF(ISBLANK(MarketData!P39),"",MarketData!P39)</f>
        <v>36.86</v>
      </c>
      <c r="Q41" s="1">
        <f>IF(ISBLANK(MarketData!Q39),"",MarketData!Q39)</f>
        <v>0.01</v>
      </c>
      <c r="R41" s="1">
        <f>IF(ISBLANK(MarketData!R39),"",MarketData!R39)</f>
        <v>36.94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36.950000000000003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36.96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36.97</v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37.89</v>
      </c>
      <c r="E42" s="1">
        <f>IF(ISBLANK(MarketData!E40),"",MarketData!E40)</f>
        <v>1</v>
      </c>
      <c r="F42" s="1">
        <f>IF(ISBLANK(MarketData!F40),"",MarketData!F40)</f>
        <v>37.909999999999997</v>
      </c>
      <c r="G42" s="1">
        <f>IF(ISBLANK(MarketData!G40),"",MarketData!G40)</f>
        <v>0.01</v>
      </c>
      <c r="H42" s="1">
        <f>IF(ISBLANK(MarketData!H40),"",MarketData!H40)</f>
        <v>37.880000000000003</v>
      </c>
      <c r="I42" s="1">
        <f>IF(ISBLANK(MarketData!I40),"",MarketData!I40)</f>
        <v>0.01</v>
      </c>
      <c r="J42" s="1">
        <f>IF(ISBLANK(MarketData!J40),"",MarketData!J40)</f>
        <v>37.92</v>
      </c>
      <c r="K42" s="1">
        <f>IF(ISBLANK(MarketData!K40),"",MarketData!K40)</f>
        <v>0.01</v>
      </c>
      <c r="L42" s="1">
        <f>IF(ISBLANK(MarketData!L40),"",MarketData!L40)</f>
        <v>37.869999999999997</v>
      </c>
      <c r="M42" s="1">
        <f>IF(ISBLANK(MarketData!M40),"",MarketData!M40)</f>
        <v>0.01</v>
      </c>
      <c r="N42" s="1">
        <f>IF(ISBLANK(MarketData!N40),"",MarketData!N40)</f>
        <v>37.93</v>
      </c>
      <c r="O42" s="1">
        <f>IF(ISBLANK(MarketData!O40),"",MarketData!O40)</f>
        <v>0.01</v>
      </c>
      <c r="P42" s="1">
        <f>IF(ISBLANK(MarketData!P40),"",MarketData!P40)</f>
        <v>37.86</v>
      </c>
      <c r="Q42" s="1">
        <f>IF(ISBLANK(MarketData!Q40),"",MarketData!Q40)</f>
        <v>0.01</v>
      </c>
      <c r="R42" s="1">
        <f>IF(ISBLANK(MarketData!R40),"",MarketData!R40)</f>
        <v>37.94</v>
      </c>
      <c r="S42" s="1">
        <f>IF(ISBLANK(MarketData!S40),"",MarketData!S40)</f>
        <v>0.01</v>
      </c>
      <c r="T42" s="1">
        <f>IF(ISBLANK(MarketData!T40),"",MarketData!T40)</f>
        <v>37.85</v>
      </c>
      <c r="U42" s="1">
        <f>IF(ISBLANK(MarketData!U40),"",MarketData!U40)</f>
        <v>0.01</v>
      </c>
      <c r="V42" s="1">
        <f>IF(ISBLANK(MarketData!V40),"",MarketData!V40)</f>
        <v>37.950000000000003</v>
      </c>
      <c r="W42" s="1">
        <f>IF(ISBLANK(MarketData!W40),"",MarketData!W40)</f>
        <v>0.01</v>
      </c>
      <c r="X42" s="1">
        <f>IF(ISBLANK(MarketData!X40),"",MarketData!X40)</f>
        <v>37.840000000000003</v>
      </c>
      <c r="Y42" s="1">
        <f>IF(ISBLANK(MarketData!Y40),"",MarketData!Y40)</f>
        <v>0.01</v>
      </c>
      <c r="Z42" s="1">
        <f>IF(ISBLANK(MarketData!Z40),"",MarketData!Z40)</f>
        <v>37.96</v>
      </c>
      <c r="AA42" s="1">
        <f>IF(ISBLANK(MarketData!AA40),"",MarketData!AA40)</f>
        <v>0.01</v>
      </c>
      <c r="AB42" s="1">
        <f>IF(ISBLANK(MarketData!AB40),"",MarketData!AB40)</f>
        <v>37.83</v>
      </c>
      <c r="AC42" s="1">
        <f>IF(ISBLANK(MarketData!AC40),"",MarketData!AC40)</f>
        <v>0.01</v>
      </c>
      <c r="AD42" s="1">
        <f>IF(ISBLANK(MarketData!AD40),"",MarketData!AD40)</f>
        <v>37.97</v>
      </c>
      <c r="AE42" s="1">
        <f>IF(ISBLANK(MarketData!AE40),"",MarketData!AE40)</f>
        <v>0.01</v>
      </c>
      <c r="AF42" s="1">
        <f>IF(ISBLANK(MarketData!AF40),"",MarketData!AF40)</f>
        <v>37.82</v>
      </c>
      <c r="AG42" s="1">
        <f>IF(ISBLANK(MarketData!AG40),"",MarketData!AG40)</f>
        <v>0.01</v>
      </c>
      <c r="AH42" s="1">
        <f>IF(ISBLANK(MarketData!AH40),"",MarketData!AH40)</f>
        <v>37.979999999999997</v>
      </c>
      <c r="AI42" s="1">
        <f>IF(ISBLANK(MarketData!AI40),"",MarketData!AI40)</f>
        <v>0.01</v>
      </c>
      <c r="AJ42" s="1">
        <f>IF(ISBLANK(MarketData!AJ40),"",MarketData!AJ40)</f>
        <v>37.81</v>
      </c>
      <c r="AK42" s="1">
        <f>IF(ISBLANK(MarketData!AK40),"",MarketData!AK40)</f>
        <v>0.01</v>
      </c>
      <c r="AL42" s="1">
        <f>IF(ISBLANK(MarketData!AL40),"",MarketData!AL40)</f>
        <v>37.99</v>
      </c>
      <c r="AM42" s="1" t="str">
        <f>IF(ISBLANK(MarketData!AM40),"",MarketData!AM40)</f>
        <v/>
      </c>
      <c r="AN42" s="1" t="str">
        <f>IF(ISBLANK(MarketData!AN40),"",MarketData!AN40)</f>
        <v/>
      </c>
      <c r="AO42" s="1">
        <f>IF(ISBLANK(MarketData!AO40),"",MarketData!AO40)</f>
        <v>0.01</v>
      </c>
      <c r="AP42" s="1">
        <f>IF(ISBLANK(MarketData!AP40),"",MarketData!AP40)</f>
        <v>38</v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38.92</v>
      </c>
      <c r="E43" s="1">
        <f>IF(ISBLANK(MarketData!E41),"",MarketData!E41)</f>
        <v>1</v>
      </c>
      <c r="F43" s="1">
        <f>IF(ISBLANK(MarketData!F41),"",MarketData!F41)</f>
        <v>38.94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38.950000000000003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38.96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38.97</v>
      </c>
      <c r="S43" s="1" t="str">
        <f>IF(ISBLANK(MarketData!S41),"",MarketData!S41)</f>
        <v/>
      </c>
      <c r="T43" s="1" t="str">
        <f>IF(ISBLANK(MarketData!T41),"",MarketData!T41)</f>
        <v/>
      </c>
      <c r="U43" s="1">
        <f>IF(ISBLANK(MarketData!U41),"",MarketData!U41)</f>
        <v>0.01</v>
      </c>
      <c r="V43" s="1">
        <f>IF(ISBLANK(MarketData!V41),"",MarketData!V41)</f>
        <v>38.979999999999997</v>
      </c>
      <c r="W43" s="1" t="str">
        <f>IF(ISBLANK(MarketData!W41),"",MarketData!W41)</f>
        <v/>
      </c>
      <c r="X43" s="1" t="str">
        <f>IF(ISBLANK(MarketData!X41),"",MarketData!X41)</f>
        <v/>
      </c>
      <c r="Y43" s="1">
        <f>IF(ISBLANK(MarketData!Y41),"",MarketData!Y41)</f>
        <v>0.01</v>
      </c>
      <c r="Z43" s="1">
        <f>IF(ISBLANK(MarketData!Z41),"",MarketData!Z41)</f>
        <v>38.99</v>
      </c>
      <c r="AA43" s="1" t="str">
        <f>IF(ISBLANK(MarketData!AA41),"",MarketData!AA41)</f>
        <v/>
      </c>
      <c r="AB43" s="1" t="str">
        <f>IF(ISBLANK(MarketData!AB41),"",MarketData!AB41)</f>
        <v/>
      </c>
      <c r="AC43" s="1">
        <f>IF(ISBLANK(MarketData!AC41),"",MarketData!AC41)</f>
        <v>0.01</v>
      </c>
      <c r="AD43" s="1">
        <f>IF(ISBLANK(MarketData!AD41),"",MarketData!AD41)</f>
        <v>39</v>
      </c>
      <c r="AE43" s="1" t="str">
        <f>IF(ISBLANK(MarketData!AE41),"",MarketData!AE41)</f>
        <v/>
      </c>
      <c r="AF43" s="1" t="str">
        <f>IF(ISBLANK(MarketData!AF41),"",MarketData!AF41)</f>
        <v/>
      </c>
      <c r="AG43" s="1">
        <f>IF(ISBLANK(MarketData!AG41),"",MarketData!AG41)</f>
        <v>0.01</v>
      </c>
      <c r="AH43" s="1">
        <f>IF(ISBLANK(MarketData!AH41),"",MarketData!AH41)</f>
        <v>39.01</v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39.92</v>
      </c>
      <c r="E44" s="1">
        <f>IF(ISBLANK(MarketData!E42),"",MarketData!E42)</f>
        <v>1</v>
      </c>
      <c r="F44" s="1">
        <f>IF(ISBLANK(MarketData!F42),"",MarketData!F42)</f>
        <v>39.94</v>
      </c>
      <c r="G44" s="1">
        <f>IF(ISBLANK(MarketData!G42),"",MarketData!G42)</f>
        <v>0.01</v>
      </c>
      <c r="H44" s="1">
        <f>IF(ISBLANK(MarketData!H42),"",MarketData!H42)</f>
        <v>39.909999999999997</v>
      </c>
      <c r="I44" s="1">
        <f>IF(ISBLANK(MarketData!I42),"",MarketData!I42)</f>
        <v>0.01</v>
      </c>
      <c r="J44" s="1">
        <f>IF(ISBLANK(MarketData!J42),"",MarketData!J42)</f>
        <v>39.950000000000003</v>
      </c>
      <c r="K44" s="1">
        <f>IF(ISBLANK(MarketData!K42),"",MarketData!K42)</f>
        <v>0.01</v>
      </c>
      <c r="L44" s="1">
        <f>IF(ISBLANK(MarketData!L42),"",MarketData!L42)</f>
        <v>39.9</v>
      </c>
      <c r="M44" s="1">
        <f>IF(ISBLANK(MarketData!M42),"",MarketData!M42)</f>
        <v>0.01</v>
      </c>
      <c r="N44" s="1">
        <f>IF(ISBLANK(MarketData!N42),"",MarketData!N42)</f>
        <v>39.96</v>
      </c>
      <c r="O44" s="1">
        <f>IF(ISBLANK(MarketData!O42),"",MarketData!O42)</f>
        <v>0.01</v>
      </c>
      <c r="P44" s="1">
        <f>IF(ISBLANK(MarketData!P42),"",MarketData!P42)</f>
        <v>39.89</v>
      </c>
      <c r="Q44" s="1" t="str">
        <f>IF(ISBLANK(MarketData!Q42),"",MarketData!Q42)</f>
        <v/>
      </c>
      <c r="R44" s="1" t="str">
        <f>IF(ISBLANK(MarketData!R42),"",MarketData!R42)</f>
        <v/>
      </c>
      <c r="S44" s="1">
        <f>IF(ISBLANK(MarketData!S42),"",MarketData!S42)</f>
        <v>0.01</v>
      </c>
      <c r="T44" s="1">
        <f>IF(ISBLANK(MarketData!T42),"",MarketData!T42)</f>
        <v>39.880000000000003</v>
      </c>
      <c r="U44" s="1" t="str">
        <f>IF(ISBLANK(MarketData!U42),"",MarketData!U42)</f>
        <v/>
      </c>
      <c r="V44" s="1" t="str">
        <f>IF(ISBLANK(MarketData!V42),"",MarketData!V42)</f>
        <v/>
      </c>
      <c r="W44" s="1">
        <f>IF(ISBLANK(MarketData!W42),"",MarketData!W42)</f>
        <v>0.01</v>
      </c>
      <c r="X44" s="1">
        <f>IF(ISBLANK(MarketData!X42),"",MarketData!X42)</f>
        <v>39.869999999999997</v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40.92</v>
      </c>
      <c r="E45" s="1">
        <f>IF(ISBLANK(MarketData!E43),"",MarketData!E43)</f>
        <v>1</v>
      </c>
      <c r="F45" s="1">
        <f>IF(ISBLANK(MarketData!F43),"",MarketData!F43)</f>
        <v>40.94</v>
      </c>
      <c r="G45" s="1">
        <f>IF(ISBLANK(MarketData!G43),"",MarketData!G43)</f>
        <v>0.01</v>
      </c>
      <c r="H45" s="1">
        <f>IF(ISBLANK(MarketData!H43),"",MarketData!H43)</f>
        <v>40.909999999999997</v>
      </c>
      <c r="I45" s="1">
        <f>IF(ISBLANK(MarketData!I43),"",MarketData!I43)</f>
        <v>0.01</v>
      </c>
      <c r="J45" s="1">
        <f>IF(ISBLANK(MarketData!J43),"",MarketData!J43)</f>
        <v>40.950000000000003</v>
      </c>
      <c r="K45" s="1">
        <f>IF(ISBLANK(MarketData!K43),"",MarketData!K43)</f>
        <v>0.01</v>
      </c>
      <c r="L45" s="1">
        <f>IF(ISBLANK(MarketData!L43),"",MarketData!L43)</f>
        <v>40.9</v>
      </c>
      <c r="M45" s="1">
        <f>IF(ISBLANK(MarketData!M43),"",MarketData!M43)</f>
        <v>0.01</v>
      </c>
      <c r="N45" s="1">
        <f>IF(ISBLANK(MarketData!N43),"",MarketData!N43)</f>
        <v>40.96</v>
      </c>
      <c r="O45" s="1">
        <f>IF(ISBLANK(MarketData!O43),"",MarketData!O43)</f>
        <v>0.01</v>
      </c>
      <c r="P45" s="1">
        <f>IF(ISBLANK(MarketData!P43),"",MarketData!P43)</f>
        <v>40.89</v>
      </c>
      <c r="Q45" s="1">
        <f>IF(ISBLANK(MarketData!Q43),"",MarketData!Q43)</f>
        <v>0.01</v>
      </c>
      <c r="R45" s="1">
        <f>IF(ISBLANK(MarketData!R43),"",MarketData!R43)</f>
        <v>40.97</v>
      </c>
      <c r="S45" s="1" t="str">
        <f>IF(ISBLANK(MarketData!S43),"",MarketData!S43)</f>
        <v/>
      </c>
      <c r="T45" s="1" t="str">
        <f>IF(ISBLANK(MarketData!T43),"",MarketData!T43)</f>
        <v/>
      </c>
      <c r="U45" s="1">
        <f>IF(ISBLANK(MarketData!U43),"",MarketData!U43)</f>
        <v>0.01</v>
      </c>
      <c r="V45" s="1">
        <f>IF(ISBLANK(MarketData!V43),"",MarketData!V43)</f>
        <v>40.98</v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41.89</v>
      </c>
      <c r="E46" s="1">
        <f>IF(ISBLANK(MarketData!E44),"",MarketData!E44)</f>
        <v>1</v>
      </c>
      <c r="F46" s="1">
        <f>IF(ISBLANK(MarketData!F44),"",MarketData!F44)</f>
        <v>41.91</v>
      </c>
      <c r="G46" s="1">
        <f>IF(ISBLANK(MarketData!G44),"",MarketData!G44)</f>
        <v>0.01</v>
      </c>
      <c r="H46" s="1">
        <f>IF(ISBLANK(MarketData!H44),"",MarketData!H44)</f>
        <v>41.88</v>
      </c>
      <c r="I46" s="1">
        <f>IF(ISBLANK(MarketData!I44),"",MarketData!I44)</f>
        <v>0.01</v>
      </c>
      <c r="J46" s="1">
        <f>IF(ISBLANK(MarketData!J44),"",MarketData!J44)</f>
        <v>41.92</v>
      </c>
      <c r="K46" s="1">
        <f>IF(ISBLANK(MarketData!K44),"",MarketData!K44)</f>
        <v>0.01</v>
      </c>
      <c r="L46" s="1">
        <f>IF(ISBLANK(MarketData!L44),"",MarketData!L44)</f>
        <v>41.87</v>
      </c>
      <c r="M46" s="1">
        <f>IF(ISBLANK(MarketData!M44),"",MarketData!M44)</f>
        <v>0.01</v>
      </c>
      <c r="N46" s="1">
        <f>IF(ISBLANK(MarketData!N44),"",MarketData!N44)</f>
        <v>41.93</v>
      </c>
      <c r="O46" s="1">
        <f>IF(ISBLANK(MarketData!O44),"",MarketData!O44)</f>
        <v>0.01</v>
      </c>
      <c r="P46" s="1">
        <f>IF(ISBLANK(MarketData!P44),"",MarketData!P44)</f>
        <v>41.86</v>
      </c>
      <c r="Q46" s="1">
        <f>IF(ISBLANK(MarketData!Q44),"",MarketData!Q44)</f>
        <v>0.01</v>
      </c>
      <c r="R46" s="1">
        <f>IF(ISBLANK(MarketData!R44),"",MarketData!R44)</f>
        <v>41.94</v>
      </c>
      <c r="S46" s="1">
        <f>IF(ISBLANK(MarketData!S44),"",MarketData!S44)</f>
        <v>0.01</v>
      </c>
      <c r="T46" s="1">
        <f>IF(ISBLANK(MarketData!T44),"",MarketData!T44)</f>
        <v>41.85</v>
      </c>
      <c r="U46" s="1">
        <f>IF(ISBLANK(MarketData!U44),"",MarketData!U44)</f>
        <v>0.01</v>
      </c>
      <c r="V46" s="1">
        <f>IF(ISBLANK(MarketData!V44),"",MarketData!V44)</f>
        <v>41.95</v>
      </c>
      <c r="W46" s="1">
        <f>IF(ISBLANK(MarketData!W44),"",MarketData!W44)</f>
        <v>0.01</v>
      </c>
      <c r="X46" s="1">
        <f>IF(ISBLANK(MarketData!X44),"",MarketData!X44)</f>
        <v>41.84</v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42.89</v>
      </c>
      <c r="E47" s="1">
        <f>IF(ISBLANK(MarketData!E45),"",MarketData!E45)</f>
        <v>1</v>
      </c>
      <c r="F47" s="1">
        <f>IF(ISBLANK(MarketData!F45),"",MarketData!F45)</f>
        <v>42.91</v>
      </c>
      <c r="G47" s="1">
        <f>IF(ISBLANK(MarketData!G45),"",MarketData!G45)</f>
        <v>0.01</v>
      </c>
      <c r="H47" s="1">
        <f>IF(ISBLANK(MarketData!H45),"",MarketData!H45)</f>
        <v>42.88</v>
      </c>
      <c r="I47" s="1">
        <f>IF(ISBLANK(MarketData!I45),"",MarketData!I45)</f>
        <v>0.01</v>
      </c>
      <c r="J47" s="1">
        <f>IF(ISBLANK(MarketData!J45),"",MarketData!J45)</f>
        <v>42.92</v>
      </c>
      <c r="K47" s="1">
        <f>IF(ISBLANK(MarketData!K45),"",MarketData!K45)</f>
        <v>0.01</v>
      </c>
      <c r="L47" s="1">
        <f>IF(ISBLANK(MarketData!L45),"",MarketData!L45)</f>
        <v>42.87</v>
      </c>
      <c r="M47" s="1">
        <f>IF(ISBLANK(MarketData!M45),"",MarketData!M45)</f>
        <v>0.01</v>
      </c>
      <c r="N47" s="1">
        <f>IF(ISBLANK(MarketData!N45),"",MarketData!N45)</f>
        <v>42.93</v>
      </c>
      <c r="O47" s="1">
        <f>IF(ISBLANK(MarketData!O45),"",MarketData!O45)</f>
        <v>0.01</v>
      </c>
      <c r="P47" s="1">
        <f>IF(ISBLANK(MarketData!P45),"",MarketData!P45)</f>
        <v>42.86</v>
      </c>
      <c r="Q47" s="1">
        <f>IF(ISBLANK(MarketData!Q45),"",MarketData!Q45)</f>
        <v>0.01</v>
      </c>
      <c r="R47" s="1">
        <f>IF(ISBLANK(MarketData!R45),"",MarketData!R45)</f>
        <v>42.94</v>
      </c>
      <c r="S47" s="1">
        <f>IF(ISBLANK(MarketData!S45),"",MarketData!S45)</f>
        <v>0.01</v>
      </c>
      <c r="T47" s="1">
        <f>IF(ISBLANK(MarketData!T45),"",MarketData!T45)</f>
        <v>42.85</v>
      </c>
      <c r="U47" s="1">
        <f>IF(ISBLANK(MarketData!U45),"",MarketData!U45)</f>
        <v>0.01</v>
      </c>
      <c r="V47" s="1">
        <f>IF(ISBLANK(MarketData!V45),"",MarketData!V45)</f>
        <v>42.95</v>
      </c>
      <c r="W47" s="1">
        <f>IF(ISBLANK(MarketData!W45),"",MarketData!W45)</f>
        <v>0.01</v>
      </c>
      <c r="X47" s="1">
        <f>IF(ISBLANK(MarketData!X45),"",MarketData!X45)</f>
        <v>42.84</v>
      </c>
      <c r="Y47" s="1">
        <f>IF(ISBLANK(MarketData!Y45),"",MarketData!Y45)</f>
        <v>0.01</v>
      </c>
      <c r="Z47" s="1">
        <f>IF(ISBLANK(MarketData!Z45),"",MarketData!Z45)</f>
        <v>42.96</v>
      </c>
      <c r="AA47" s="1">
        <f>IF(ISBLANK(MarketData!AA45),"",MarketData!AA45)</f>
        <v>0.01</v>
      </c>
      <c r="AB47" s="1">
        <f>IF(ISBLANK(MarketData!AB45),"",MarketData!AB45)</f>
        <v>42.83</v>
      </c>
      <c r="AC47" s="1">
        <f>IF(ISBLANK(MarketData!AC45),"",MarketData!AC45)</f>
        <v>0.01</v>
      </c>
      <c r="AD47" s="1">
        <f>IF(ISBLANK(MarketData!AD45),"",MarketData!AD45)</f>
        <v>42.97</v>
      </c>
      <c r="AE47" s="1">
        <f>IF(ISBLANK(MarketData!AE45),"",MarketData!AE45)</f>
        <v>0.01</v>
      </c>
      <c r="AF47" s="1">
        <f>IF(ISBLANK(MarketData!AF45),"",MarketData!AF45)</f>
        <v>42.82</v>
      </c>
      <c r="AG47" s="1">
        <f>IF(ISBLANK(MarketData!AG45),"",MarketData!AG45)</f>
        <v>0.01</v>
      </c>
      <c r="AH47" s="1">
        <f>IF(ISBLANK(MarketData!AH45),"",MarketData!AH45)</f>
        <v>42.98</v>
      </c>
      <c r="AI47" s="1" t="str">
        <f>IF(ISBLANK(MarketData!AI45),"",MarketData!AI45)</f>
        <v/>
      </c>
      <c r="AJ47" s="1" t="str">
        <f>IF(ISBLANK(MarketData!AJ45),"",MarketData!AJ45)</f>
        <v/>
      </c>
      <c r="AK47" s="1">
        <f>IF(ISBLANK(MarketData!AK45),"",MarketData!AK45)</f>
        <v>0.01</v>
      </c>
      <c r="AL47" s="1">
        <f>IF(ISBLANK(MarketData!AL45),"",MarketData!AL45)</f>
        <v>42.99</v>
      </c>
      <c r="AM47" s="1" t="str">
        <f>IF(ISBLANK(MarketData!AM45),"",MarketData!AM45)</f>
        <v/>
      </c>
      <c r="AN47" s="1" t="str">
        <f>IF(ISBLANK(MarketData!AN45),"",MarketData!AN45)</f>
        <v/>
      </c>
      <c r="AO47" s="1">
        <f>IF(ISBLANK(MarketData!AO45),"",MarketData!AO45)</f>
        <v>0.01</v>
      </c>
      <c r="AP47" s="1">
        <f>IF(ISBLANK(MarketData!AP45),"",MarketData!AP45)</f>
        <v>43</v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43.92</v>
      </c>
      <c r="E48" s="1">
        <f>IF(ISBLANK(MarketData!E46),"",MarketData!E46)</f>
        <v>1</v>
      </c>
      <c r="F48" s="1">
        <f>IF(ISBLANK(MarketData!F46),"",MarketData!F46)</f>
        <v>43.94</v>
      </c>
      <c r="G48" s="1">
        <f>IF(ISBLANK(MarketData!G46),"",MarketData!G46)</f>
        <v>0.01</v>
      </c>
      <c r="H48" s="1">
        <f>IF(ISBLANK(MarketData!H46),"",MarketData!H46)</f>
        <v>43.91</v>
      </c>
      <c r="I48" s="1">
        <f>IF(ISBLANK(MarketData!I46),"",MarketData!I46)</f>
        <v>0.01</v>
      </c>
      <c r="J48" s="1">
        <f>IF(ISBLANK(MarketData!J46),"",MarketData!J46)</f>
        <v>43.95</v>
      </c>
      <c r="K48" s="1">
        <f>IF(ISBLANK(MarketData!K46),"",MarketData!K46)</f>
        <v>0.01</v>
      </c>
      <c r="L48" s="1">
        <f>IF(ISBLANK(MarketData!L46),"",MarketData!L46)</f>
        <v>43.9</v>
      </c>
      <c r="M48" s="1">
        <f>IF(ISBLANK(MarketData!M46),"",MarketData!M46)</f>
        <v>0.01</v>
      </c>
      <c r="N48" s="1">
        <f>IF(ISBLANK(MarketData!N46),"",MarketData!N46)</f>
        <v>43.96</v>
      </c>
      <c r="O48" s="1">
        <f>IF(ISBLANK(MarketData!O46),"",MarketData!O46)</f>
        <v>0.01</v>
      </c>
      <c r="P48" s="1">
        <f>IF(ISBLANK(MarketData!P46),"",MarketData!P46)</f>
        <v>43.89</v>
      </c>
      <c r="Q48" s="1">
        <f>IF(ISBLANK(MarketData!Q46),"",MarketData!Q46)</f>
        <v>0.01</v>
      </c>
      <c r="R48" s="1">
        <f>IF(ISBLANK(MarketData!R46),"",MarketData!R46)</f>
        <v>43.97</v>
      </c>
      <c r="S48" s="1">
        <f>IF(ISBLANK(MarketData!S46),"",MarketData!S46)</f>
        <v>0.01</v>
      </c>
      <c r="T48" s="1">
        <f>IF(ISBLANK(MarketData!T46),"",MarketData!T46)</f>
        <v>43.88</v>
      </c>
      <c r="U48" s="1">
        <f>IF(ISBLANK(MarketData!U46),"",MarketData!U46)</f>
        <v>0.01</v>
      </c>
      <c r="V48" s="1">
        <f>IF(ISBLANK(MarketData!V46),"",MarketData!V46)</f>
        <v>43.98</v>
      </c>
      <c r="W48" s="1">
        <f>IF(ISBLANK(MarketData!W46),"",MarketData!W46)</f>
        <v>0.01</v>
      </c>
      <c r="X48" s="1">
        <f>IF(ISBLANK(MarketData!X46),"",MarketData!X46)</f>
        <v>43.87</v>
      </c>
      <c r="Y48" s="1">
        <f>IF(ISBLANK(MarketData!Y46),"",MarketData!Y46)</f>
        <v>0.01</v>
      </c>
      <c r="Z48" s="1">
        <f>IF(ISBLANK(MarketData!Z46),"",MarketData!Z46)</f>
        <v>43.99</v>
      </c>
      <c r="AA48" s="1">
        <f>IF(ISBLANK(MarketData!AA46),"",MarketData!AA46)</f>
        <v>0.01</v>
      </c>
      <c r="AB48" s="1">
        <f>IF(ISBLANK(MarketData!AB46),"",MarketData!AB46)</f>
        <v>43.86</v>
      </c>
      <c r="AC48" s="1">
        <f>IF(ISBLANK(MarketData!AC46),"",MarketData!AC46)</f>
        <v>0.01</v>
      </c>
      <c r="AD48" s="1">
        <f>IF(ISBLANK(MarketData!AD46),"",MarketData!AD46)</f>
        <v>44</v>
      </c>
      <c r="AE48" s="1">
        <f>IF(ISBLANK(MarketData!AE46),"",MarketData!AE46)</f>
        <v>0.01</v>
      </c>
      <c r="AF48" s="1">
        <f>IF(ISBLANK(MarketData!AF46),"",MarketData!AF46)</f>
        <v>43.85</v>
      </c>
      <c r="AG48" s="1">
        <f>IF(ISBLANK(MarketData!AG46),"",MarketData!AG46)</f>
        <v>0.01</v>
      </c>
      <c r="AH48" s="1">
        <f>IF(ISBLANK(MarketData!AH46),"",MarketData!AH46)</f>
        <v>44.01</v>
      </c>
      <c r="AI48" s="1">
        <f>IF(ISBLANK(MarketData!AI46),"",MarketData!AI46)</f>
        <v>0.01</v>
      </c>
      <c r="AJ48" s="1">
        <f>IF(ISBLANK(MarketData!AJ46),"",MarketData!AJ46)</f>
        <v>43.84</v>
      </c>
      <c r="AK48" s="1">
        <f>IF(ISBLANK(MarketData!AK46),"",MarketData!AK46)</f>
        <v>0.01</v>
      </c>
      <c r="AL48" s="1">
        <f>IF(ISBLANK(MarketData!AL46),"",MarketData!AL46)</f>
        <v>44.02</v>
      </c>
      <c r="AM48" s="1">
        <f>IF(ISBLANK(MarketData!AM46),"",MarketData!AM46)</f>
        <v>0.01</v>
      </c>
      <c r="AN48" s="1">
        <f>IF(ISBLANK(MarketData!AN46),"",MarketData!AN46)</f>
        <v>43.83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44.89</v>
      </c>
      <c r="E49" s="1">
        <f>IF(ISBLANK(MarketData!E47),"",MarketData!E47)</f>
        <v>1</v>
      </c>
      <c r="F49" s="1">
        <f>IF(ISBLANK(MarketData!F47),"",MarketData!F47)</f>
        <v>44.91</v>
      </c>
      <c r="G49" s="1">
        <f>IF(ISBLANK(MarketData!G47),"",MarketData!G47)</f>
        <v>0.01</v>
      </c>
      <c r="H49" s="1">
        <f>IF(ISBLANK(MarketData!H47),"",MarketData!H47)</f>
        <v>44.88</v>
      </c>
      <c r="I49" s="1">
        <f>IF(ISBLANK(MarketData!I47),"",MarketData!I47)</f>
        <v>0.01</v>
      </c>
      <c r="J49" s="1">
        <f>IF(ISBLANK(MarketData!J47),"",MarketData!J47)</f>
        <v>44.92</v>
      </c>
      <c r="K49" s="1">
        <f>IF(ISBLANK(MarketData!K47),"",MarketData!K47)</f>
        <v>0.01</v>
      </c>
      <c r="L49" s="1">
        <f>IF(ISBLANK(MarketData!L47),"",MarketData!L47)</f>
        <v>44.87</v>
      </c>
      <c r="M49" s="1">
        <f>IF(ISBLANK(MarketData!M47),"",MarketData!M47)</f>
        <v>0.01</v>
      </c>
      <c r="N49" s="1">
        <f>IF(ISBLANK(MarketData!N47),"",MarketData!N47)</f>
        <v>44.93</v>
      </c>
      <c r="O49" s="1">
        <f>IF(ISBLANK(MarketData!O47),"",MarketData!O47)</f>
        <v>0.01</v>
      </c>
      <c r="P49" s="1">
        <f>IF(ISBLANK(MarketData!P47),"",MarketData!P47)</f>
        <v>44.86</v>
      </c>
      <c r="Q49" s="1">
        <f>IF(ISBLANK(MarketData!Q47),"",MarketData!Q47)</f>
        <v>0.01</v>
      </c>
      <c r="R49" s="1">
        <f>IF(ISBLANK(MarketData!R47),"",MarketData!R47)</f>
        <v>44.94</v>
      </c>
      <c r="S49" s="1">
        <f>IF(ISBLANK(MarketData!S47),"",MarketData!S47)</f>
        <v>0.01</v>
      </c>
      <c r="T49" s="1">
        <f>IF(ISBLANK(MarketData!T47),"",MarketData!T47)</f>
        <v>44.85</v>
      </c>
      <c r="U49" s="1">
        <f>IF(ISBLANK(MarketData!U47),"",MarketData!U47)</f>
        <v>0.01</v>
      </c>
      <c r="V49" s="1">
        <f>IF(ISBLANK(MarketData!V47),"",MarketData!V47)</f>
        <v>44.95</v>
      </c>
      <c r="W49" s="1">
        <f>IF(ISBLANK(MarketData!W47),"",MarketData!W47)</f>
        <v>0.01</v>
      </c>
      <c r="X49" s="1">
        <f>IF(ISBLANK(MarketData!X47),"",MarketData!X47)</f>
        <v>44.84</v>
      </c>
      <c r="Y49" s="1">
        <f>IF(ISBLANK(MarketData!Y47),"",MarketData!Y47)</f>
        <v>0.01</v>
      </c>
      <c r="Z49" s="1">
        <f>IF(ISBLANK(MarketData!Z47),"",MarketData!Z47)</f>
        <v>44.96</v>
      </c>
      <c r="AA49" s="1">
        <f>IF(ISBLANK(MarketData!AA47),"",MarketData!AA47)</f>
        <v>0.01</v>
      </c>
      <c r="AB49" s="1">
        <f>IF(ISBLANK(MarketData!AB47),"",MarketData!AB47)</f>
        <v>44.83</v>
      </c>
      <c r="AC49" s="1">
        <f>IF(ISBLANK(MarketData!AC47),"",MarketData!AC47)</f>
        <v>0.01</v>
      </c>
      <c r="AD49" s="1">
        <f>IF(ISBLANK(MarketData!AD47),"",MarketData!AD47)</f>
        <v>44.97</v>
      </c>
      <c r="AE49" s="1">
        <f>IF(ISBLANK(MarketData!AE47),"",MarketData!AE47)</f>
        <v>0.01</v>
      </c>
      <c r="AF49" s="1">
        <f>IF(ISBLANK(MarketData!AF47),"",MarketData!AF47)</f>
        <v>44.82</v>
      </c>
      <c r="AG49" s="1" t="str">
        <f>IF(ISBLANK(MarketData!AG47),"",MarketData!AG47)</f>
        <v/>
      </c>
      <c r="AH49" s="1" t="str">
        <f>IF(ISBLANK(MarketData!AH47),"",MarketData!AH47)</f>
        <v/>
      </c>
      <c r="AI49" s="1">
        <f>IF(ISBLANK(MarketData!AI47),"",MarketData!AI47)</f>
        <v>0.01</v>
      </c>
      <c r="AJ49" s="1">
        <f>IF(ISBLANK(MarketData!AJ47),"",MarketData!AJ47)</f>
        <v>44.81</v>
      </c>
      <c r="AK49" s="1" t="str">
        <f>IF(ISBLANK(MarketData!AK47),"",MarketData!AK47)</f>
        <v/>
      </c>
      <c r="AL49" s="1" t="str">
        <f>IF(ISBLANK(MarketData!AL47),"",MarketData!AL47)</f>
        <v/>
      </c>
      <c r="AM49" s="1">
        <f>IF(ISBLANK(MarketData!AM47),"",MarketData!AM47)</f>
        <v>0.01</v>
      </c>
      <c r="AN49" s="1">
        <f>IF(ISBLANK(MarketData!AN47),"",MarketData!AN47)</f>
        <v>44.8</v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45.92</v>
      </c>
      <c r="E50" s="1">
        <f>IF(ISBLANK(MarketData!E48),"",MarketData!E48)</f>
        <v>1</v>
      </c>
      <c r="F50" s="1">
        <f>IF(ISBLANK(MarketData!F48),"",MarketData!F48)</f>
        <v>45.94</v>
      </c>
      <c r="G50" s="1">
        <f>IF(ISBLANK(MarketData!G48),"",MarketData!G48)</f>
        <v>0.01</v>
      </c>
      <c r="H50" s="1">
        <f>IF(ISBLANK(MarketData!H48),"",MarketData!H48)</f>
        <v>45.91</v>
      </c>
      <c r="I50" s="1">
        <f>IF(ISBLANK(MarketData!I48),"",MarketData!I48)</f>
        <v>0.01</v>
      </c>
      <c r="J50" s="1">
        <f>IF(ISBLANK(MarketData!J48),"",MarketData!J48)</f>
        <v>45.95</v>
      </c>
      <c r="K50" s="1">
        <f>IF(ISBLANK(MarketData!K48),"",MarketData!K48)</f>
        <v>0.01</v>
      </c>
      <c r="L50" s="1">
        <f>IF(ISBLANK(MarketData!L48),"",MarketData!L48)</f>
        <v>45.9</v>
      </c>
      <c r="M50" s="1">
        <f>IF(ISBLANK(MarketData!M48),"",MarketData!M48)</f>
        <v>0.01</v>
      </c>
      <c r="N50" s="1">
        <f>IF(ISBLANK(MarketData!N48),"",MarketData!N48)</f>
        <v>45.96</v>
      </c>
      <c r="O50" s="1">
        <f>IF(ISBLANK(MarketData!O48),"",MarketData!O48)</f>
        <v>0.01</v>
      </c>
      <c r="P50" s="1">
        <f>IF(ISBLANK(MarketData!P48),"",MarketData!P48)</f>
        <v>45.89</v>
      </c>
      <c r="Q50" s="1">
        <f>IF(ISBLANK(MarketData!Q48),"",MarketData!Q48)</f>
        <v>0.01</v>
      </c>
      <c r="R50" s="1">
        <f>IF(ISBLANK(MarketData!R48),"",MarketData!R48)</f>
        <v>45.97</v>
      </c>
      <c r="S50" s="1">
        <f>IF(ISBLANK(MarketData!S48),"",MarketData!S48)</f>
        <v>0.01</v>
      </c>
      <c r="T50" s="1">
        <f>IF(ISBLANK(MarketData!T48),"",MarketData!T48)</f>
        <v>45.88</v>
      </c>
      <c r="U50" s="1">
        <f>IF(ISBLANK(MarketData!U48),"",MarketData!U48)</f>
        <v>0.01</v>
      </c>
      <c r="V50" s="1">
        <f>IF(ISBLANK(MarketData!V48),"",MarketData!V48)</f>
        <v>45.98</v>
      </c>
      <c r="W50" s="1">
        <f>IF(ISBLANK(MarketData!W48),"",MarketData!W48)</f>
        <v>0.01</v>
      </c>
      <c r="X50" s="1">
        <f>IF(ISBLANK(MarketData!X48),"",MarketData!X48)</f>
        <v>45.87</v>
      </c>
      <c r="Y50" s="1">
        <f>IF(ISBLANK(MarketData!Y48),"",MarketData!Y48)</f>
        <v>0.01</v>
      </c>
      <c r="Z50" s="1">
        <f>IF(ISBLANK(MarketData!Z48),"",MarketData!Z48)</f>
        <v>45.99</v>
      </c>
      <c r="AA50" s="1">
        <f>IF(ISBLANK(MarketData!AA48),"",MarketData!AA48)</f>
        <v>0.01</v>
      </c>
      <c r="AB50" s="1">
        <f>IF(ISBLANK(MarketData!AB48),"",MarketData!AB48)</f>
        <v>45.86</v>
      </c>
      <c r="AC50" s="1">
        <f>IF(ISBLANK(MarketData!AC48),"",MarketData!AC48)</f>
        <v>0.01</v>
      </c>
      <c r="AD50" s="1">
        <f>IF(ISBLANK(MarketData!AD48),"",MarketData!AD48)</f>
        <v>46</v>
      </c>
      <c r="AE50" s="1">
        <f>IF(ISBLANK(MarketData!AE48),"",MarketData!AE48)</f>
        <v>0.01</v>
      </c>
      <c r="AF50" s="1">
        <f>IF(ISBLANK(MarketData!AF48),"",MarketData!AF48)</f>
        <v>45.85</v>
      </c>
      <c r="AG50" s="1">
        <f>IF(ISBLANK(MarketData!AG48),"",MarketData!AG48)</f>
        <v>0.01</v>
      </c>
      <c r="AH50" s="1">
        <f>IF(ISBLANK(MarketData!AH48),"",MarketData!AH48)</f>
        <v>46.01</v>
      </c>
      <c r="AI50" s="1">
        <f>IF(ISBLANK(MarketData!AI48),"",MarketData!AI48)</f>
        <v>0.01</v>
      </c>
      <c r="AJ50" s="1">
        <f>IF(ISBLANK(MarketData!AJ48),"",MarketData!AJ48)</f>
        <v>45.84</v>
      </c>
      <c r="AK50" s="1">
        <f>IF(ISBLANK(MarketData!AK48),"",MarketData!AK48)</f>
        <v>0.01</v>
      </c>
      <c r="AL50" s="1">
        <f>IF(ISBLANK(MarketData!AL48),"",MarketData!AL48)</f>
        <v>46.02</v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46.92</v>
      </c>
      <c r="E51" s="1">
        <f>IF(ISBLANK(MarketData!E49),"",MarketData!E49)</f>
        <v>1</v>
      </c>
      <c r="F51" s="1">
        <f>IF(ISBLANK(MarketData!F49),"",MarketData!F49)</f>
        <v>46.94</v>
      </c>
      <c r="G51" s="1">
        <f>IF(ISBLANK(MarketData!G49),"",MarketData!G49)</f>
        <v>0.01</v>
      </c>
      <c r="H51" s="1">
        <f>IF(ISBLANK(MarketData!H49),"",MarketData!H49)</f>
        <v>46.91</v>
      </c>
      <c r="I51" s="1">
        <f>IF(ISBLANK(MarketData!I49),"",MarketData!I49)</f>
        <v>0.01</v>
      </c>
      <c r="J51" s="1">
        <f>IF(ISBLANK(MarketData!J49),"",MarketData!J49)</f>
        <v>46.95</v>
      </c>
      <c r="K51" s="1">
        <f>IF(ISBLANK(MarketData!K49),"",MarketData!K49)</f>
        <v>0.01</v>
      </c>
      <c r="L51" s="1">
        <f>IF(ISBLANK(MarketData!L49),"",MarketData!L49)</f>
        <v>46.9</v>
      </c>
      <c r="M51" s="1">
        <f>IF(ISBLANK(MarketData!M49),"",MarketData!M49)</f>
        <v>0.01</v>
      </c>
      <c r="N51" s="1">
        <f>IF(ISBLANK(MarketData!N49),"",MarketData!N49)</f>
        <v>46.96</v>
      </c>
      <c r="O51" s="1">
        <f>IF(ISBLANK(MarketData!O49),"",MarketData!O49)</f>
        <v>0.01</v>
      </c>
      <c r="P51" s="1">
        <f>IF(ISBLANK(MarketData!P49),"",MarketData!P49)</f>
        <v>46.89</v>
      </c>
      <c r="Q51" s="1">
        <f>IF(ISBLANK(MarketData!Q49),"",MarketData!Q49)</f>
        <v>0.01</v>
      </c>
      <c r="R51" s="1">
        <f>IF(ISBLANK(MarketData!R49),"",MarketData!R49)</f>
        <v>46.97</v>
      </c>
      <c r="S51" s="1">
        <f>IF(ISBLANK(MarketData!S49),"",MarketData!S49)</f>
        <v>0.01</v>
      </c>
      <c r="T51" s="1">
        <f>IF(ISBLANK(MarketData!T49),"",MarketData!T49)</f>
        <v>46.88</v>
      </c>
      <c r="U51" s="1">
        <f>IF(ISBLANK(MarketData!U49),"",MarketData!U49)</f>
        <v>0.01</v>
      </c>
      <c r="V51" s="1">
        <f>IF(ISBLANK(MarketData!V49),"",MarketData!V49)</f>
        <v>46.98</v>
      </c>
      <c r="W51" s="1">
        <f>IF(ISBLANK(MarketData!W49),"",MarketData!W49)</f>
        <v>0.01</v>
      </c>
      <c r="X51" s="1">
        <f>IF(ISBLANK(MarketData!X49),"",MarketData!X49)</f>
        <v>46.87</v>
      </c>
      <c r="Y51" s="1">
        <f>IF(ISBLANK(MarketData!Y49),"",MarketData!Y49)</f>
        <v>0.01</v>
      </c>
      <c r="Z51" s="1">
        <f>IF(ISBLANK(MarketData!Z49),"",MarketData!Z49)</f>
        <v>46.99</v>
      </c>
      <c r="AA51" s="1">
        <f>IF(ISBLANK(MarketData!AA49),"",MarketData!AA49)</f>
        <v>0.01</v>
      </c>
      <c r="AB51" s="1">
        <f>IF(ISBLANK(MarketData!AB49),"",MarketData!AB49)</f>
        <v>46.86</v>
      </c>
      <c r="AC51" s="1">
        <f>IF(ISBLANK(MarketData!AC49),"",MarketData!AC49)</f>
        <v>0.01</v>
      </c>
      <c r="AD51" s="1">
        <f>IF(ISBLANK(MarketData!AD49),"",MarketData!AD49)</f>
        <v>47</v>
      </c>
      <c r="AE51" s="1" t="str">
        <f>IF(ISBLANK(MarketData!AE49),"",MarketData!AE49)</f>
        <v/>
      </c>
      <c r="AF51" s="1" t="str">
        <f>IF(ISBLANK(MarketData!AF49),"",MarketData!AF49)</f>
        <v/>
      </c>
      <c r="AG51" s="1">
        <f>IF(ISBLANK(MarketData!AG49),"",MarketData!AG49)</f>
        <v>0.01</v>
      </c>
      <c r="AH51" s="1">
        <f>IF(ISBLANK(MarketData!AH49),"",MarketData!AH49)</f>
        <v>47.01</v>
      </c>
      <c r="AI51" s="1" t="str">
        <f>IF(ISBLANK(MarketData!AI49),"",MarketData!AI49)</f>
        <v/>
      </c>
      <c r="AJ51" s="1" t="str">
        <f>IF(ISBLANK(MarketData!AJ49),"",MarketData!AJ49)</f>
        <v/>
      </c>
      <c r="AK51" s="1">
        <f>IF(ISBLANK(MarketData!AK49),"",MarketData!AK49)</f>
        <v>0.01</v>
      </c>
      <c r="AL51" s="1">
        <f>IF(ISBLANK(MarketData!AL49),"",MarketData!AL49)</f>
        <v>47.02</v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47.92</v>
      </c>
      <c r="E52" s="1">
        <f>IF(ISBLANK(MarketData!E50),"",MarketData!E50)</f>
        <v>1</v>
      </c>
      <c r="F52" s="1">
        <f>IF(ISBLANK(MarketData!F50),"",MarketData!F50)</f>
        <v>47.94</v>
      </c>
      <c r="G52" s="1">
        <f>IF(ISBLANK(MarketData!G50),"",MarketData!G50)</f>
        <v>0.01</v>
      </c>
      <c r="H52" s="1">
        <f>IF(ISBLANK(MarketData!H50),"",MarketData!H50)</f>
        <v>47.91</v>
      </c>
      <c r="I52" s="1">
        <f>IF(ISBLANK(MarketData!I50),"",MarketData!I50)</f>
        <v>0.01</v>
      </c>
      <c r="J52" s="1">
        <f>IF(ISBLANK(MarketData!J50),"",MarketData!J50)</f>
        <v>47.95</v>
      </c>
      <c r="K52" s="1">
        <f>IF(ISBLANK(MarketData!K50),"",MarketData!K50)</f>
        <v>0.01</v>
      </c>
      <c r="L52" s="1">
        <f>IF(ISBLANK(MarketData!L50),"",MarketData!L50)</f>
        <v>47.9</v>
      </c>
      <c r="M52" s="1">
        <f>IF(ISBLANK(MarketData!M50),"",MarketData!M50)</f>
        <v>0.01</v>
      </c>
      <c r="N52" s="1">
        <f>IF(ISBLANK(MarketData!N50),"",MarketData!N50)</f>
        <v>47.96</v>
      </c>
      <c r="O52" s="1">
        <f>IF(ISBLANK(MarketData!O50),"",MarketData!O50)</f>
        <v>0.01</v>
      </c>
      <c r="P52" s="1">
        <f>IF(ISBLANK(MarketData!P50),"",MarketData!P50)</f>
        <v>47.89</v>
      </c>
      <c r="Q52" s="1">
        <f>IF(ISBLANK(MarketData!Q50),"",MarketData!Q50)</f>
        <v>0.01</v>
      </c>
      <c r="R52" s="1">
        <f>IF(ISBLANK(MarketData!R50),"",MarketData!R50)</f>
        <v>47.97</v>
      </c>
      <c r="S52" s="1">
        <f>IF(ISBLANK(MarketData!S50),"",MarketData!S50)</f>
        <v>0.01</v>
      </c>
      <c r="T52" s="1">
        <f>IF(ISBLANK(MarketData!T50),"",MarketData!T50)</f>
        <v>47.88</v>
      </c>
      <c r="U52" s="1">
        <f>IF(ISBLANK(MarketData!U50),"",MarketData!U50)</f>
        <v>0.01</v>
      </c>
      <c r="V52" s="1">
        <f>IF(ISBLANK(MarketData!V50),"",MarketData!V50)</f>
        <v>47.98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47.99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>
        <f>IF(ISBLANK(MarketData!AC50),"",MarketData!AC50)</f>
        <v>0.01</v>
      </c>
      <c r="AD52" s="1">
        <f>IF(ISBLANK(MarketData!AD50),"",MarketData!AD50)</f>
        <v>48</v>
      </c>
      <c r="AE52" s="1" t="str">
        <f>IF(ISBLANK(MarketData!AE50),"",MarketData!AE50)</f>
        <v/>
      </c>
      <c r="AF52" s="1" t="str">
        <f>IF(ISBLANK(MarketData!AF50),"",MarketData!AF50)</f>
        <v/>
      </c>
      <c r="AG52" s="1">
        <f>IF(ISBLANK(MarketData!AG50),"",MarketData!AG50)</f>
        <v>0.01</v>
      </c>
      <c r="AH52" s="1">
        <f>IF(ISBLANK(MarketData!AH50),"",MarketData!AH50)</f>
        <v>48.01</v>
      </c>
      <c r="AI52" s="1" t="str">
        <f>IF(ISBLANK(MarketData!AI50),"",MarketData!AI50)</f>
        <v/>
      </c>
      <c r="AJ52" s="1" t="str">
        <f>IF(ISBLANK(MarketData!AJ50),"",MarketData!AJ50)</f>
        <v/>
      </c>
      <c r="AK52" s="1">
        <f>IF(ISBLANK(MarketData!AK50),"",MarketData!AK50)</f>
        <v>0.01</v>
      </c>
      <c r="AL52" s="1">
        <f>IF(ISBLANK(MarketData!AL50),"",MarketData!AL50)</f>
        <v>48.02</v>
      </c>
      <c r="AM52" s="1" t="str">
        <f>IF(ISBLANK(MarketData!AM50),"",MarketData!AM50)</f>
        <v/>
      </c>
      <c r="AN52" s="1" t="str">
        <f>IF(ISBLANK(MarketData!AN50),"",MarketData!AN50)</f>
        <v/>
      </c>
      <c r="AO52" s="1">
        <f>IF(ISBLANK(MarketData!AO50),"",MarketData!AO50)</f>
        <v>0.01</v>
      </c>
      <c r="AP52" s="1">
        <f>IF(ISBLANK(MarketData!AP50),"",MarketData!AP50)</f>
        <v>48.03</v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48.92</v>
      </c>
      <c r="E53" s="1">
        <f>IF(ISBLANK(MarketData!E51),"",MarketData!E51)</f>
        <v>1</v>
      </c>
      <c r="F53" s="1">
        <f>IF(ISBLANK(MarketData!F51),"",MarketData!F51)</f>
        <v>48.94</v>
      </c>
      <c r="G53" s="1">
        <f>IF(ISBLANK(MarketData!G51),"",MarketData!G51)</f>
        <v>0.01</v>
      </c>
      <c r="H53" s="1">
        <f>IF(ISBLANK(MarketData!H51),"",MarketData!H51)</f>
        <v>48.91</v>
      </c>
      <c r="I53" s="1">
        <f>IF(ISBLANK(MarketData!I51),"",MarketData!I51)</f>
        <v>0.01</v>
      </c>
      <c r="J53" s="1">
        <f>IF(ISBLANK(MarketData!J51),"",MarketData!J51)</f>
        <v>48.95</v>
      </c>
      <c r="K53" s="1">
        <f>IF(ISBLANK(MarketData!K51),"",MarketData!K51)</f>
        <v>0.01</v>
      </c>
      <c r="L53" s="1">
        <f>IF(ISBLANK(MarketData!L51),"",MarketData!L51)</f>
        <v>48.9</v>
      </c>
      <c r="M53" s="1">
        <f>IF(ISBLANK(MarketData!M51),"",MarketData!M51)</f>
        <v>0.01</v>
      </c>
      <c r="N53" s="1">
        <f>IF(ISBLANK(MarketData!N51),"",MarketData!N51)</f>
        <v>48.96</v>
      </c>
      <c r="O53" s="1">
        <f>IF(ISBLANK(MarketData!O51),"",MarketData!O51)</f>
        <v>0.01</v>
      </c>
      <c r="P53" s="1">
        <f>IF(ISBLANK(MarketData!P51),"",MarketData!P51)</f>
        <v>48.89</v>
      </c>
      <c r="Q53" s="1" t="str">
        <f>IF(ISBLANK(MarketData!Q51),"",MarketData!Q51)</f>
        <v/>
      </c>
      <c r="R53" s="1" t="str">
        <f>IF(ISBLANK(MarketData!R51),"",MarketData!R51)</f>
        <v/>
      </c>
      <c r="S53" s="1">
        <f>IF(ISBLANK(MarketData!S51),"",MarketData!S51)</f>
        <v>0.01</v>
      </c>
      <c r="T53" s="1">
        <f>IF(ISBLANK(MarketData!T51),"",MarketData!T51)</f>
        <v>48.88</v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49.92</v>
      </c>
      <c r="E54" s="1">
        <f>IF(ISBLANK(MarketData!E52),"",MarketData!E52)</f>
        <v>1</v>
      </c>
      <c r="F54" s="1">
        <f>IF(ISBLANK(MarketData!F52),"",MarketData!F52)</f>
        <v>49.94</v>
      </c>
      <c r="G54" s="1">
        <f>IF(ISBLANK(MarketData!G52),"",MarketData!G52)</f>
        <v>0.01</v>
      </c>
      <c r="H54" s="1">
        <f>IF(ISBLANK(MarketData!H52),"",MarketData!H52)</f>
        <v>49.91</v>
      </c>
      <c r="I54" s="1">
        <f>IF(ISBLANK(MarketData!I52),"",MarketData!I52)</f>
        <v>0.01</v>
      </c>
      <c r="J54" s="1">
        <f>IF(ISBLANK(MarketData!J52),"",MarketData!J52)</f>
        <v>49.95</v>
      </c>
      <c r="K54" s="1">
        <f>IF(ISBLANK(MarketData!K52),"",MarketData!K52)</f>
        <v>0.01</v>
      </c>
      <c r="L54" s="1">
        <f>IF(ISBLANK(MarketData!L52),"",MarketData!L52)</f>
        <v>49.9</v>
      </c>
      <c r="M54" s="1">
        <f>IF(ISBLANK(MarketData!M52),"",MarketData!M52)</f>
        <v>0.01</v>
      </c>
      <c r="N54" s="1">
        <f>IF(ISBLANK(MarketData!N52),"",MarketData!N52)</f>
        <v>49.96</v>
      </c>
      <c r="O54" s="1">
        <f>IF(ISBLANK(MarketData!O52),"",MarketData!O52)</f>
        <v>0.01</v>
      </c>
      <c r="P54" s="1">
        <f>IF(ISBLANK(MarketData!P52),"",MarketData!P52)</f>
        <v>49.89</v>
      </c>
      <c r="Q54" s="1" t="str">
        <f>IF(ISBLANK(MarketData!Q52),"",MarketData!Q52)</f>
        <v/>
      </c>
      <c r="R54" s="1" t="str">
        <f>IF(ISBLANK(MarketData!R52),"",MarketData!R52)</f>
        <v/>
      </c>
      <c r="S54" s="1">
        <f>IF(ISBLANK(MarketData!S52),"",MarketData!S52)</f>
        <v>0.01</v>
      </c>
      <c r="T54" s="1">
        <f>IF(ISBLANK(MarketData!T52),"",MarketData!T52)</f>
        <v>49.88</v>
      </c>
      <c r="U54" s="1" t="str">
        <f>IF(ISBLANK(MarketData!U52),"",MarketData!U52)</f>
        <v/>
      </c>
      <c r="V54" s="1" t="str">
        <f>IF(ISBLANK(MarketData!V52),"",MarketData!V52)</f>
        <v/>
      </c>
      <c r="W54" s="1">
        <f>IF(ISBLANK(MarketData!W52),"",MarketData!W52)</f>
        <v>0.01</v>
      </c>
      <c r="X54" s="1">
        <f>IF(ISBLANK(MarketData!X52),"",MarketData!X52)</f>
        <v>49.87</v>
      </c>
      <c r="Y54" s="1" t="str">
        <f>IF(ISBLANK(MarketData!Y52),"",MarketData!Y52)</f>
        <v/>
      </c>
      <c r="Z54" s="1" t="str">
        <f>IF(ISBLANK(MarketData!Z52),"",MarketData!Z52)</f>
        <v/>
      </c>
      <c r="AA54" s="1">
        <f>IF(ISBLANK(MarketData!AA52),"",MarketData!AA52)</f>
        <v>0.01</v>
      </c>
      <c r="AB54" s="1">
        <f>IF(ISBLANK(MarketData!AB52),"",MarketData!AB52)</f>
        <v>49.86</v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50.92</v>
      </c>
      <c r="E55" s="1">
        <f>IF(ISBLANK(MarketData!E53),"",MarketData!E53)</f>
        <v>1</v>
      </c>
      <c r="F55" s="1">
        <f>IF(ISBLANK(MarketData!F53),"",MarketData!F53)</f>
        <v>50.94</v>
      </c>
      <c r="G55" s="1">
        <f>IF(ISBLANK(MarketData!G53),"",MarketData!G53)</f>
        <v>0.01</v>
      </c>
      <c r="H55" s="1">
        <f>IF(ISBLANK(MarketData!H53),"",MarketData!H53)</f>
        <v>50.91</v>
      </c>
      <c r="I55" s="1">
        <f>IF(ISBLANK(MarketData!I53),"",MarketData!I53)</f>
        <v>0.01</v>
      </c>
      <c r="J55" s="1">
        <f>IF(ISBLANK(MarketData!J53),"",MarketData!J53)</f>
        <v>50.95</v>
      </c>
      <c r="K55" s="1">
        <f>IF(ISBLANK(MarketData!K53),"",MarketData!K53)</f>
        <v>0.01</v>
      </c>
      <c r="L55" s="1">
        <f>IF(ISBLANK(MarketData!L53),"",MarketData!L53)</f>
        <v>50.9</v>
      </c>
      <c r="M55" s="1">
        <f>IF(ISBLANK(MarketData!M53),"",MarketData!M53)</f>
        <v>0.01</v>
      </c>
      <c r="N55" s="1">
        <f>IF(ISBLANK(MarketData!N53),"",MarketData!N53)</f>
        <v>50.96</v>
      </c>
      <c r="O55" s="1">
        <f>IF(ISBLANK(MarketData!O53),"",MarketData!O53)</f>
        <v>0.01</v>
      </c>
      <c r="P55" s="1">
        <f>IF(ISBLANK(MarketData!P53),"",MarketData!P53)</f>
        <v>50.89</v>
      </c>
      <c r="Q55" s="1">
        <f>IF(ISBLANK(MarketData!Q53),"",MarketData!Q53)</f>
        <v>0.01</v>
      </c>
      <c r="R55" s="1">
        <f>IF(ISBLANK(MarketData!R53),"",MarketData!R53)</f>
        <v>50.97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50.98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50.99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51.89</v>
      </c>
      <c r="E56" s="1">
        <f>IF(ISBLANK(MarketData!E54),"",MarketData!E54)</f>
        <v>1</v>
      </c>
      <c r="F56" s="1">
        <f>IF(ISBLANK(MarketData!F54),"",MarketData!F54)</f>
        <v>51.91</v>
      </c>
      <c r="G56" s="1">
        <f>IF(ISBLANK(MarketData!G54),"",MarketData!G54)</f>
        <v>0.01</v>
      </c>
      <c r="H56" s="1">
        <f>IF(ISBLANK(MarketData!H54),"",MarketData!H54)</f>
        <v>51.88</v>
      </c>
      <c r="I56" s="1">
        <f>IF(ISBLANK(MarketData!I54),"",MarketData!I54)</f>
        <v>0.01</v>
      </c>
      <c r="J56" s="1">
        <f>IF(ISBLANK(MarketData!J54),"",MarketData!J54)</f>
        <v>51.92</v>
      </c>
      <c r="K56" s="1">
        <f>IF(ISBLANK(MarketData!K54),"",MarketData!K54)</f>
        <v>0.01</v>
      </c>
      <c r="L56" s="1">
        <f>IF(ISBLANK(MarketData!L54),"",MarketData!L54)</f>
        <v>51.87</v>
      </c>
      <c r="M56" s="1">
        <f>IF(ISBLANK(MarketData!M54),"",MarketData!M54)</f>
        <v>0.01</v>
      </c>
      <c r="N56" s="1">
        <f>IF(ISBLANK(MarketData!N54),"",MarketData!N54)</f>
        <v>51.93</v>
      </c>
      <c r="O56" s="1">
        <f>IF(ISBLANK(MarketData!O54),"",MarketData!O54)</f>
        <v>0.01</v>
      </c>
      <c r="P56" s="1">
        <f>IF(ISBLANK(MarketData!P54),"",MarketData!P54)</f>
        <v>51.86</v>
      </c>
      <c r="Q56" s="1">
        <f>IF(ISBLANK(MarketData!Q54),"",MarketData!Q54)</f>
        <v>0.01</v>
      </c>
      <c r="R56" s="1">
        <f>IF(ISBLANK(MarketData!R54),"",MarketData!R54)</f>
        <v>51.94</v>
      </c>
      <c r="S56" s="1">
        <f>IF(ISBLANK(MarketData!S54),"",MarketData!S54)</f>
        <v>0.01</v>
      </c>
      <c r="T56" s="1">
        <f>IF(ISBLANK(MarketData!T54),"",MarketData!T54)</f>
        <v>51.85</v>
      </c>
      <c r="U56" s="1">
        <f>IF(ISBLANK(MarketData!U54),"",MarketData!U54)</f>
        <v>0.01</v>
      </c>
      <c r="V56" s="1">
        <f>IF(ISBLANK(MarketData!V54),"",MarketData!V54)</f>
        <v>51.95</v>
      </c>
      <c r="W56" s="1">
        <f>IF(ISBLANK(MarketData!W54),"",MarketData!W54)</f>
        <v>0.01</v>
      </c>
      <c r="X56" s="1">
        <f>IF(ISBLANK(MarketData!X54),"",MarketData!X54)</f>
        <v>51.84</v>
      </c>
      <c r="Y56" s="1" t="str">
        <f>IF(ISBLANK(MarketData!Y54),"",MarketData!Y54)</f>
        <v/>
      </c>
      <c r="Z56" s="1" t="str">
        <f>IF(ISBLANK(MarketData!Z54),"",MarketData!Z54)</f>
        <v/>
      </c>
      <c r="AA56" s="1">
        <f>IF(ISBLANK(MarketData!AA54),"",MarketData!AA54)</f>
        <v>0.01</v>
      </c>
      <c r="AB56" s="1">
        <f>IF(ISBLANK(MarketData!AB54),"",MarketData!AB54)</f>
        <v>51.83</v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52.92</v>
      </c>
      <c r="E57" s="1">
        <f>IF(ISBLANK(MarketData!E55),"",MarketData!E55)</f>
        <v>1</v>
      </c>
      <c r="F57" s="1">
        <f>IF(ISBLANK(MarketData!F55),"",MarketData!F55)</f>
        <v>52.94</v>
      </c>
      <c r="G57" s="1">
        <f>IF(ISBLANK(MarketData!G55),"",MarketData!G55)</f>
        <v>0.01</v>
      </c>
      <c r="H57" s="1">
        <f>IF(ISBLANK(MarketData!H55),"",MarketData!H55)</f>
        <v>52.91</v>
      </c>
      <c r="I57" s="1">
        <f>IF(ISBLANK(MarketData!I55),"",MarketData!I55)</f>
        <v>0.01</v>
      </c>
      <c r="J57" s="1">
        <f>IF(ISBLANK(MarketData!J55),"",MarketData!J55)</f>
        <v>52.95</v>
      </c>
      <c r="K57" s="1">
        <f>IF(ISBLANK(MarketData!K55),"",MarketData!K55)</f>
        <v>0.01</v>
      </c>
      <c r="L57" s="1">
        <f>IF(ISBLANK(MarketData!L55),"",MarketData!L55)</f>
        <v>52.9</v>
      </c>
      <c r="M57" s="1">
        <f>IF(ISBLANK(MarketData!M55),"",MarketData!M55)</f>
        <v>0.01</v>
      </c>
      <c r="N57" s="1">
        <f>IF(ISBLANK(MarketData!N55),"",MarketData!N55)</f>
        <v>52.96</v>
      </c>
      <c r="O57" s="1">
        <f>IF(ISBLANK(MarketData!O55),"",MarketData!O55)</f>
        <v>0.01</v>
      </c>
      <c r="P57" s="1">
        <f>IF(ISBLANK(MarketData!P55),"",MarketData!P55)</f>
        <v>52.89</v>
      </c>
      <c r="Q57" s="1">
        <f>IF(ISBLANK(MarketData!Q55),"",MarketData!Q55)</f>
        <v>0.01</v>
      </c>
      <c r="R57" s="1">
        <f>IF(ISBLANK(MarketData!R55),"",MarketData!R55)</f>
        <v>52.97</v>
      </c>
      <c r="S57" s="1" t="str">
        <f>IF(ISBLANK(MarketData!S55),"",MarketData!S55)</f>
        <v/>
      </c>
      <c r="T57" s="1" t="str">
        <f>IF(ISBLANK(MarketData!T55),"",MarketData!T55)</f>
        <v/>
      </c>
      <c r="U57" s="1">
        <f>IF(ISBLANK(MarketData!U55),"",MarketData!U55)</f>
        <v>0.01</v>
      </c>
      <c r="V57" s="1">
        <f>IF(ISBLANK(MarketData!V55),"",MarketData!V55)</f>
        <v>52.98</v>
      </c>
      <c r="W57" s="1" t="str">
        <f>IF(ISBLANK(MarketData!W55),"",MarketData!W55)</f>
        <v/>
      </c>
      <c r="X57" s="1" t="str">
        <f>IF(ISBLANK(MarketData!X55),"",MarketData!X55)</f>
        <v/>
      </c>
      <c r="Y57" s="1">
        <f>IF(ISBLANK(MarketData!Y55),"",MarketData!Y55)</f>
        <v>0.01</v>
      </c>
      <c r="Z57" s="1">
        <f>IF(ISBLANK(MarketData!Z55),"",MarketData!Z55)</f>
        <v>52.99</v>
      </c>
      <c r="AA57" s="1" t="str">
        <f>IF(ISBLANK(MarketData!AA55),"",MarketData!AA55)</f>
        <v/>
      </c>
      <c r="AB57" s="1" t="str">
        <f>IF(ISBLANK(MarketData!AB55),"",MarketData!AB55)</f>
        <v/>
      </c>
      <c r="AC57" s="1">
        <f>IF(ISBLANK(MarketData!AC55),"",MarketData!AC55)</f>
        <v>0.01</v>
      </c>
      <c r="AD57" s="1">
        <f>IF(ISBLANK(MarketData!AD55),"",MarketData!AD55)</f>
        <v>53</v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53.89</v>
      </c>
      <c r="E58" s="1">
        <f>IF(ISBLANK(MarketData!E56),"",MarketData!E56)</f>
        <v>1</v>
      </c>
      <c r="F58" s="1">
        <f>IF(ISBLANK(MarketData!F56),"",MarketData!F56)</f>
        <v>53.91</v>
      </c>
      <c r="G58" s="1" t="str">
        <f>IF(ISBLANK(MarketData!G56),"",MarketData!G56)</f>
        <v/>
      </c>
      <c r="H58" s="1" t="str">
        <f>IF(ISBLANK(MarketData!H56),"",MarketData!H56)</f>
        <v/>
      </c>
      <c r="I58" s="1">
        <f>IF(ISBLANK(MarketData!I56),"",MarketData!I56)</f>
        <v>0.01</v>
      </c>
      <c r="J58" s="1">
        <f>IF(ISBLANK(MarketData!J56),"",MarketData!J56)</f>
        <v>53.92</v>
      </c>
      <c r="K58" s="1" t="str">
        <f>IF(ISBLANK(MarketData!K56),"",MarketData!K56)</f>
        <v/>
      </c>
      <c r="L58" s="1" t="str">
        <f>IF(ISBLANK(MarketData!L56),"",MarketData!L56)</f>
        <v/>
      </c>
      <c r="M58" s="1">
        <f>IF(ISBLANK(MarketData!M56),"",MarketData!M56)</f>
        <v>0.01</v>
      </c>
      <c r="N58" s="1">
        <f>IF(ISBLANK(MarketData!N56),"",MarketData!N56)</f>
        <v>53.93</v>
      </c>
      <c r="O58" s="1" t="str">
        <f>IF(ISBLANK(MarketData!O56),"",MarketData!O56)</f>
        <v/>
      </c>
      <c r="P58" s="1" t="str">
        <f>IF(ISBLANK(MarketData!P56),"",MarketData!P56)</f>
        <v/>
      </c>
      <c r="Q58" s="1">
        <f>IF(ISBLANK(MarketData!Q56),"",MarketData!Q56)</f>
        <v>0.01</v>
      </c>
      <c r="R58" s="1">
        <f>IF(ISBLANK(MarketData!R56),"",MarketData!R56)</f>
        <v>53.94</v>
      </c>
      <c r="S58" s="1" t="str">
        <f>IF(ISBLANK(MarketData!S56),"",MarketData!S56)</f>
        <v/>
      </c>
      <c r="T58" s="1" t="str">
        <f>IF(ISBLANK(MarketData!T56),"",MarketData!T56)</f>
        <v/>
      </c>
      <c r="U58" s="1">
        <f>IF(ISBLANK(MarketData!U56),"",MarketData!U56)</f>
        <v>0.01</v>
      </c>
      <c r="V58" s="1">
        <f>IF(ISBLANK(MarketData!V56),"",MarketData!V56)</f>
        <v>53.95</v>
      </c>
      <c r="W58" s="1" t="str">
        <f>IF(ISBLANK(MarketData!W56),"",MarketData!W56)</f>
        <v/>
      </c>
      <c r="X58" s="1" t="str">
        <f>IF(ISBLANK(MarketData!X56),"",MarketData!X56)</f>
        <v/>
      </c>
      <c r="Y58" s="1">
        <f>IF(ISBLANK(MarketData!Y56),"",MarketData!Y56)</f>
        <v>0.01</v>
      </c>
      <c r="Z58" s="1">
        <f>IF(ISBLANK(MarketData!Z56),"",MarketData!Z56)</f>
        <v>53.96</v>
      </c>
      <c r="AA58" s="1" t="str">
        <f>IF(ISBLANK(MarketData!AA56),"",MarketData!AA56)</f>
        <v/>
      </c>
      <c r="AB58" s="1" t="str">
        <f>IF(ISBLANK(MarketData!AB56),"",MarketData!AB56)</f>
        <v/>
      </c>
      <c r="AC58" s="1">
        <f>IF(ISBLANK(MarketData!AC56),"",MarketData!AC56)</f>
        <v>0.01</v>
      </c>
      <c r="AD58" s="1">
        <f>IF(ISBLANK(MarketData!AD56),"",MarketData!AD56)</f>
        <v>53.97</v>
      </c>
      <c r="AE58" s="1" t="str">
        <f>IF(ISBLANK(MarketData!AE56),"",MarketData!AE56)</f>
        <v/>
      </c>
      <c r="AF58" s="1" t="str">
        <f>IF(ISBLANK(MarketData!AF56),"",MarketData!AF56)</f>
        <v/>
      </c>
      <c r="AG58" s="1">
        <f>IF(ISBLANK(MarketData!AG56),"",MarketData!AG56)</f>
        <v>0.01</v>
      </c>
      <c r="AH58" s="1">
        <f>IF(ISBLANK(MarketData!AH56),"",MarketData!AH56)</f>
        <v>53.98</v>
      </c>
      <c r="AI58" s="1" t="str">
        <f>IF(ISBLANK(MarketData!AI56),"",MarketData!AI56)</f>
        <v/>
      </c>
      <c r="AJ58" s="1" t="str">
        <f>IF(ISBLANK(MarketData!AJ56),"",MarketData!AJ56)</f>
        <v/>
      </c>
      <c r="AK58" s="1">
        <f>IF(ISBLANK(MarketData!AK56),"",MarketData!AK56)</f>
        <v>0.01</v>
      </c>
      <c r="AL58" s="1">
        <f>IF(ISBLANK(MarketData!AL56),"",MarketData!AL56)</f>
        <v>53.99</v>
      </c>
      <c r="AM58" s="1" t="str">
        <f>IF(ISBLANK(MarketData!AM56),"",MarketData!AM56)</f>
        <v/>
      </c>
      <c r="AN58" s="1" t="str">
        <f>IF(ISBLANK(MarketData!AN56),"",MarketData!AN56)</f>
        <v/>
      </c>
      <c r="AO58" s="1">
        <f>IF(ISBLANK(MarketData!AO56),"",MarketData!AO56)</f>
        <v>0.01</v>
      </c>
      <c r="AP58" s="1">
        <f>IF(ISBLANK(MarketData!AP56),"",MarketData!AP56)</f>
        <v>54</v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54.89</v>
      </c>
      <c r="E59" s="1">
        <f>IF(ISBLANK(MarketData!E57),"",MarketData!E57)</f>
        <v>1</v>
      </c>
      <c r="F59" s="1">
        <f>IF(ISBLANK(MarketData!F57),"",MarketData!F57)</f>
        <v>54.91</v>
      </c>
      <c r="G59" s="1">
        <f>IF(ISBLANK(MarketData!G57),"",MarketData!G57)</f>
        <v>0.01</v>
      </c>
      <c r="H59" s="1">
        <f>IF(ISBLANK(MarketData!H57),"",MarketData!H57)</f>
        <v>54.88</v>
      </c>
      <c r="I59" s="1">
        <f>IF(ISBLANK(MarketData!I57),"",MarketData!I57)</f>
        <v>0.01</v>
      </c>
      <c r="J59" s="1">
        <f>IF(ISBLANK(MarketData!J57),"",MarketData!J57)</f>
        <v>54.92</v>
      </c>
      <c r="K59" s="1">
        <f>IF(ISBLANK(MarketData!K57),"",MarketData!K57)</f>
        <v>0.01</v>
      </c>
      <c r="L59" s="1">
        <f>IF(ISBLANK(MarketData!L57),"",MarketData!L57)</f>
        <v>54.87</v>
      </c>
      <c r="M59" s="1">
        <f>IF(ISBLANK(MarketData!M57),"",MarketData!M57)</f>
        <v>0.01</v>
      </c>
      <c r="N59" s="1">
        <f>IF(ISBLANK(MarketData!N57),"",MarketData!N57)</f>
        <v>54.93</v>
      </c>
      <c r="O59" s="1">
        <f>IF(ISBLANK(MarketData!O57),"",MarketData!O57)</f>
        <v>0.01</v>
      </c>
      <c r="P59" s="1">
        <f>IF(ISBLANK(MarketData!P57),"",MarketData!P57)</f>
        <v>54.86</v>
      </c>
      <c r="Q59" s="1">
        <f>IF(ISBLANK(MarketData!Q57),"",MarketData!Q57)</f>
        <v>0.01</v>
      </c>
      <c r="R59" s="1">
        <f>IF(ISBLANK(MarketData!R57),"",MarketData!R57)</f>
        <v>54.94</v>
      </c>
      <c r="S59" s="1">
        <f>IF(ISBLANK(MarketData!S57),"",MarketData!S57)</f>
        <v>0.01</v>
      </c>
      <c r="T59" s="1">
        <f>IF(ISBLANK(MarketData!T57),"",MarketData!T57)</f>
        <v>54.85</v>
      </c>
      <c r="U59" s="1" t="str">
        <f>IF(ISBLANK(MarketData!U57),"",MarketData!U57)</f>
        <v/>
      </c>
      <c r="V59" s="1" t="str">
        <f>IF(ISBLANK(MarketData!V57),"",MarketData!V57)</f>
        <v/>
      </c>
      <c r="W59" s="1">
        <f>IF(ISBLANK(MarketData!W57),"",MarketData!W57)</f>
        <v>0.01</v>
      </c>
      <c r="X59" s="1">
        <f>IF(ISBLANK(MarketData!X57),"",MarketData!X57)</f>
        <v>54.84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54.83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54.82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54.81</v>
      </c>
      <c r="AK59" s="1" t="str">
        <f>IF(ISBLANK(MarketData!AK57),"",MarketData!AK57)</f>
        <v/>
      </c>
      <c r="AL59" s="1" t="str">
        <f>IF(ISBLANK(MarketData!AL57),"",MarketData!AL57)</f>
        <v/>
      </c>
      <c r="AM59" s="1">
        <f>IF(ISBLANK(MarketData!AM57),"",MarketData!AM57)</f>
        <v>0.01</v>
      </c>
      <c r="AN59" s="1">
        <f>IF(ISBLANK(MarketData!AN57),"",MarketData!AN57)</f>
        <v>54.8</v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55.89</v>
      </c>
      <c r="E60" s="1">
        <f>IF(ISBLANK(MarketData!E58),"",MarketData!E58)</f>
        <v>1</v>
      </c>
      <c r="F60" s="1">
        <f>IF(ISBLANK(MarketData!F58),"",MarketData!F58)</f>
        <v>55.91</v>
      </c>
      <c r="G60" s="1">
        <f>IF(ISBLANK(MarketData!G58),"",MarketData!G58)</f>
        <v>0.01</v>
      </c>
      <c r="H60" s="1">
        <f>IF(ISBLANK(MarketData!H58),"",MarketData!H58)</f>
        <v>55.88</v>
      </c>
      <c r="I60" s="1">
        <f>IF(ISBLANK(MarketData!I58),"",MarketData!I58)</f>
        <v>0.01</v>
      </c>
      <c r="J60" s="1">
        <f>IF(ISBLANK(MarketData!J58),"",MarketData!J58)</f>
        <v>55.92</v>
      </c>
      <c r="K60" s="1">
        <f>IF(ISBLANK(MarketData!K58),"",MarketData!K58)</f>
        <v>0.01</v>
      </c>
      <c r="L60" s="1">
        <f>IF(ISBLANK(MarketData!L58),"",MarketData!L58)</f>
        <v>55.87</v>
      </c>
      <c r="M60" s="1">
        <f>IF(ISBLANK(MarketData!M58),"",MarketData!M58)</f>
        <v>0.01</v>
      </c>
      <c r="N60" s="1">
        <f>IF(ISBLANK(MarketData!N58),"",MarketData!N58)</f>
        <v>55.93</v>
      </c>
      <c r="O60" s="1">
        <f>IF(ISBLANK(MarketData!O58),"",MarketData!O58)</f>
        <v>0.01</v>
      </c>
      <c r="P60" s="1">
        <f>IF(ISBLANK(MarketData!P58),"",MarketData!P58)</f>
        <v>55.86</v>
      </c>
      <c r="Q60" s="1">
        <f>IF(ISBLANK(MarketData!Q58),"",MarketData!Q58)</f>
        <v>0.01</v>
      </c>
      <c r="R60" s="1">
        <f>IF(ISBLANK(MarketData!R58),"",MarketData!R58)</f>
        <v>55.94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55.95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55.96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55.97</v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56.92</v>
      </c>
      <c r="E61" s="1">
        <f>IF(ISBLANK(MarketData!E59),"",MarketData!E59)</f>
        <v>1</v>
      </c>
      <c r="F61" s="1">
        <f>IF(ISBLANK(MarketData!F59),"",MarketData!F59)</f>
        <v>56.94</v>
      </c>
      <c r="G61" s="1">
        <f>IF(ISBLANK(MarketData!G59),"",MarketData!G59)</f>
        <v>0.01</v>
      </c>
      <c r="H61" s="1">
        <f>IF(ISBLANK(MarketData!H59),"",MarketData!H59)</f>
        <v>56.91</v>
      </c>
      <c r="I61" s="1">
        <f>IF(ISBLANK(MarketData!I59),"",MarketData!I59)</f>
        <v>0.01</v>
      </c>
      <c r="J61" s="1">
        <f>IF(ISBLANK(MarketData!J59),"",MarketData!J59)</f>
        <v>56.95</v>
      </c>
      <c r="K61" s="1">
        <f>IF(ISBLANK(MarketData!K59),"",MarketData!K59)</f>
        <v>0.01</v>
      </c>
      <c r="L61" s="1">
        <f>IF(ISBLANK(MarketData!L59),"",MarketData!L59)</f>
        <v>56.9</v>
      </c>
      <c r="M61" s="1">
        <f>IF(ISBLANK(MarketData!M59),"",MarketData!M59)</f>
        <v>0.01</v>
      </c>
      <c r="N61" s="1">
        <f>IF(ISBLANK(MarketData!N59),"",MarketData!N59)</f>
        <v>56.96</v>
      </c>
      <c r="O61" s="1">
        <f>IF(ISBLANK(MarketData!O59),"",MarketData!O59)</f>
        <v>0.01</v>
      </c>
      <c r="P61" s="1">
        <f>IF(ISBLANK(MarketData!P59),"",MarketData!P59)</f>
        <v>56.89</v>
      </c>
      <c r="Q61" s="1">
        <f>IF(ISBLANK(MarketData!Q59),"",MarketData!Q59)</f>
        <v>0.01</v>
      </c>
      <c r="R61" s="1">
        <f>IF(ISBLANK(MarketData!R59),"",MarketData!R59)</f>
        <v>56.97</v>
      </c>
      <c r="S61" s="1">
        <f>IF(ISBLANK(MarketData!S59),"",MarketData!S59)</f>
        <v>0.01</v>
      </c>
      <c r="T61" s="1">
        <f>IF(ISBLANK(MarketData!T59),"",MarketData!T59)</f>
        <v>56.88</v>
      </c>
      <c r="U61" s="1">
        <f>IF(ISBLANK(MarketData!U59),"",MarketData!U59)</f>
        <v>0.01</v>
      </c>
      <c r="V61" s="1">
        <f>IF(ISBLANK(MarketData!V59),"",MarketData!V59)</f>
        <v>56.98</v>
      </c>
      <c r="W61" s="1">
        <f>IF(ISBLANK(MarketData!W59),"",MarketData!W59)</f>
        <v>0.01</v>
      </c>
      <c r="X61" s="1">
        <f>IF(ISBLANK(MarketData!X59),"",MarketData!X59)</f>
        <v>56.87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56.86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56.85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56.84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57.92</v>
      </c>
      <c r="E62" s="1">
        <f>IF(ISBLANK(MarketData!E60),"",MarketData!E60)</f>
        <v>1</v>
      </c>
      <c r="F62" s="1">
        <f>IF(ISBLANK(MarketData!F60),"",MarketData!F60)</f>
        <v>57.94</v>
      </c>
      <c r="G62" s="1">
        <f>IF(ISBLANK(MarketData!G60),"",MarketData!G60)</f>
        <v>0.01</v>
      </c>
      <c r="H62" s="1">
        <f>IF(ISBLANK(MarketData!H60),"",MarketData!H60)</f>
        <v>57.91</v>
      </c>
      <c r="I62" s="1">
        <f>IF(ISBLANK(MarketData!I60),"",MarketData!I60)</f>
        <v>0.01</v>
      </c>
      <c r="J62" s="1">
        <f>IF(ISBLANK(MarketData!J60),"",MarketData!J60)</f>
        <v>57.95</v>
      </c>
      <c r="K62" s="1">
        <f>IF(ISBLANK(MarketData!K60),"",MarketData!K60)</f>
        <v>0.01</v>
      </c>
      <c r="L62" s="1">
        <f>IF(ISBLANK(MarketData!L60),"",MarketData!L60)</f>
        <v>57.9</v>
      </c>
      <c r="M62" s="1">
        <f>IF(ISBLANK(MarketData!M60),"",MarketData!M60)</f>
        <v>0.01</v>
      </c>
      <c r="N62" s="1">
        <f>IF(ISBLANK(MarketData!N60),"",MarketData!N60)</f>
        <v>57.96</v>
      </c>
      <c r="O62" s="1">
        <f>IF(ISBLANK(MarketData!O60),"",MarketData!O60)</f>
        <v>0.01</v>
      </c>
      <c r="P62" s="1">
        <f>IF(ISBLANK(MarketData!P60),"",MarketData!P60)</f>
        <v>57.89</v>
      </c>
      <c r="Q62" s="1">
        <f>IF(ISBLANK(MarketData!Q60),"",MarketData!Q60)</f>
        <v>0.01</v>
      </c>
      <c r="R62" s="1">
        <f>IF(ISBLANK(MarketData!R60),"",MarketData!R60)</f>
        <v>57.97</v>
      </c>
      <c r="S62" s="1">
        <f>IF(ISBLANK(MarketData!S60),"",MarketData!S60)</f>
        <v>0.01</v>
      </c>
      <c r="T62" s="1">
        <f>IF(ISBLANK(MarketData!T60),"",MarketData!T60)</f>
        <v>57.88</v>
      </c>
      <c r="U62" s="1">
        <f>IF(ISBLANK(MarketData!U60),"",MarketData!U60)</f>
        <v>0.01</v>
      </c>
      <c r="V62" s="1">
        <f>IF(ISBLANK(MarketData!V60),"",MarketData!V60)</f>
        <v>57.98</v>
      </c>
      <c r="W62" s="1">
        <f>IF(ISBLANK(MarketData!W60),"",MarketData!W60)</f>
        <v>0.01</v>
      </c>
      <c r="X62" s="1">
        <f>IF(ISBLANK(MarketData!X60),"",MarketData!X60)</f>
        <v>57.87</v>
      </c>
      <c r="Y62" s="1" t="str">
        <f>IF(ISBLANK(MarketData!Y60),"",MarketData!Y60)</f>
        <v/>
      </c>
      <c r="Z62" s="1" t="str">
        <f>IF(ISBLANK(MarketData!Z60),"",MarketData!Z60)</f>
        <v/>
      </c>
      <c r="AA62" s="1">
        <f>IF(ISBLANK(MarketData!AA60),"",MarketData!AA60)</f>
        <v>0.01</v>
      </c>
      <c r="AB62" s="1">
        <f>IF(ISBLANK(MarketData!AB60),"",MarketData!AB60)</f>
        <v>57.86</v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58.92</v>
      </c>
      <c r="E63" s="1">
        <f>IF(ISBLANK(MarketData!E61),"",MarketData!E61)</f>
        <v>1</v>
      </c>
      <c r="F63" s="1">
        <f>IF(ISBLANK(MarketData!F61),"",MarketData!F61)</f>
        <v>58.94</v>
      </c>
      <c r="G63" s="1">
        <f>IF(ISBLANK(MarketData!G61),"",MarketData!G61)</f>
        <v>0.01</v>
      </c>
      <c r="H63" s="1">
        <f>IF(ISBLANK(MarketData!H61),"",MarketData!H61)</f>
        <v>58.91</v>
      </c>
      <c r="I63" s="1" t="str">
        <f>IF(ISBLANK(MarketData!I61),"",MarketData!I61)</f>
        <v/>
      </c>
      <c r="J63" s="1" t="str">
        <f>IF(ISBLANK(MarketData!J61),"",MarketData!J61)</f>
        <v/>
      </c>
      <c r="K63" s="1">
        <f>IF(ISBLANK(MarketData!K61),"",MarketData!K61)</f>
        <v>0.01</v>
      </c>
      <c r="L63" s="1">
        <f>IF(ISBLANK(MarketData!L61),"",MarketData!L61)</f>
        <v>58.9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58.89</v>
      </c>
      <c r="Q63" s="1" t="str">
        <f>IF(ISBLANK(MarketData!Q61),"",MarketData!Q61)</f>
        <v/>
      </c>
      <c r="R63" s="1" t="str">
        <f>IF(ISBLANK(MarketData!R61),"",MarketData!R61)</f>
        <v/>
      </c>
      <c r="S63" s="1">
        <f>IF(ISBLANK(MarketData!S61),"",MarketData!S61)</f>
        <v>0.01</v>
      </c>
      <c r="T63" s="1">
        <f>IF(ISBLANK(MarketData!T61),"",MarketData!T61)</f>
        <v>58.88</v>
      </c>
      <c r="U63" s="1" t="str">
        <f>IF(ISBLANK(MarketData!U61),"",MarketData!U61)</f>
        <v/>
      </c>
      <c r="V63" s="1" t="str">
        <f>IF(ISBLANK(MarketData!V61),"",MarketData!V61)</f>
        <v/>
      </c>
      <c r="W63" s="1">
        <f>IF(ISBLANK(MarketData!W61),"",MarketData!W61)</f>
        <v>0.01</v>
      </c>
      <c r="X63" s="1">
        <f>IF(ISBLANK(MarketData!X61),"",MarketData!X61)</f>
        <v>58.87</v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59.92</v>
      </c>
      <c r="E64" s="1">
        <f>IF(ISBLANK(MarketData!E62),"",MarketData!E62)</f>
        <v>1</v>
      </c>
      <c r="F64" s="1">
        <f>IF(ISBLANK(MarketData!F62),"",MarketData!F62)</f>
        <v>59.94</v>
      </c>
      <c r="G64" s="1">
        <f>IF(ISBLANK(MarketData!G62),"",MarketData!G62)</f>
        <v>0.01</v>
      </c>
      <c r="H64" s="1">
        <f>IF(ISBLANK(MarketData!H62),"",MarketData!H62)</f>
        <v>59.91</v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60.92</v>
      </c>
      <c r="E65" s="1">
        <f>IF(ISBLANK(MarketData!E63),"",MarketData!E63)</f>
        <v>1</v>
      </c>
      <c r="F65" s="1">
        <f>IF(ISBLANK(MarketData!F63),"",MarketData!F63)</f>
        <v>60.94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60.95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60.96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60.97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60.98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60.99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61.89</v>
      </c>
      <c r="E66" s="1">
        <f>IF(ISBLANK(MarketData!E64),"",MarketData!E64)</f>
        <v>1</v>
      </c>
      <c r="F66" s="1">
        <f>IF(ISBLANK(MarketData!F64),"",MarketData!F64)</f>
        <v>61.91</v>
      </c>
      <c r="G66" s="1">
        <f>IF(ISBLANK(MarketData!G64),"",MarketData!G64)</f>
        <v>0.01</v>
      </c>
      <c r="H66" s="1">
        <f>IF(ISBLANK(MarketData!H64),"",MarketData!H64)</f>
        <v>61.88</v>
      </c>
      <c r="I66" s="1">
        <f>IF(ISBLANK(MarketData!I64),"",MarketData!I64)</f>
        <v>0.01</v>
      </c>
      <c r="J66" s="1">
        <f>IF(ISBLANK(MarketData!J64),"",MarketData!J64)</f>
        <v>61.92</v>
      </c>
      <c r="K66" s="1">
        <f>IF(ISBLANK(MarketData!K64),"",MarketData!K64)</f>
        <v>0.01</v>
      </c>
      <c r="L66" s="1">
        <f>IF(ISBLANK(MarketData!L64),"",MarketData!L64)</f>
        <v>61.87</v>
      </c>
      <c r="M66" s="1">
        <f>IF(ISBLANK(MarketData!M64),"",MarketData!M64)</f>
        <v>0.01</v>
      </c>
      <c r="N66" s="1">
        <f>IF(ISBLANK(MarketData!N64),"",MarketData!N64)</f>
        <v>61.93</v>
      </c>
      <c r="O66" s="1">
        <f>IF(ISBLANK(MarketData!O64),"",MarketData!O64)</f>
        <v>0.01</v>
      </c>
      <c r="P66" s="1">
        <f>IF(ISBLANK(MarketData!P64),"",MarketData!P64)</f>
        <v>61.86</v>
      </c>
      <c r="Q66" s="1">
        <f>IF(ISBLANK(MarketData!Q64),"",MarketData!Q64)</f>
        <v>0.01</v>
      </c>
      <c r="R66" s="1">
        <f>IF(ISBLANK(MarketData!R64),"",MarketData!R64)</f>
        <v>61.94</v>
      </c>
      <c r="S66" s="1">
        <f>IF(ISBLANK(MarketData!S64),"",MarketData!S64)</f>
        <v>0.01</v>
      </c>
      <c r="T66" s="1">
        <f>IF(ISBLANK(MarketData!T64),"",MarketData!T64)</f>
        <v>61.85</v>
      </c>
      <c r="U66" s="1">
        <f>IF(ISBLANK(MarketData!U64),"",MarketData!U64)</f>
        <v>0.01</v>
      </c>
      <c r="V66" s="1">
        <f>IF(ISBLANK(MarketData!V64),"",MarketData!V64)</f>
        <v>61.95</v>
      </c>
      <c r="W66" s="1">
        <f>IF(ISBLANK(MarketData!W64),"",MarketData!W64)</f>
        <v>0.01</v>
      </c>
      <c r="X66" s="1">
        <f>IF(ISBLANK(MarketData!X64),"",MarketData!X64)</f>
        <v>61.84</v>
      </c>
      <c r="Y66" s="1">
        <f>IF(ISBLANK(MarketData!Y64),"",MarketData!Y64)</f>
        <v>0.01</v>
      </c>
      <c r="Z66" s="1">
        <f>IF(ISBLANK(MarketData!Z64),"",MarketData!Z64)</f>
        <v>61.96</v>
      </c>
      <c r="AA66" s="1">
        <f>IF(ISBLANK(MarketData!AA64),"",MarketData!AA64)</f>
        <v>0.01</v>
      </c>
      <c r="AB66" s="1">
        <f>IF(ISBLANK(MarketData!AB64),"",MarketData!AB64)</f>
        <v>61.83</v>
      </c>
      <c r="AC66" s="1" t="str">
        <f>IF(ISBLANK(MarketData!AC64),"",MarketData!AC64)</f>
        <v/>
      </c>
      <c r="AD66" s="1" t="str">
        <f>IF(ISBLANK(MarketData!AD64),"",MarketData!AD64)</f>
        <v/>
      </c>
      <c r="AE66" s="1">
        <f>IF(ISBLANK(MarketData!AE64),"",MarketData!AE64)</f>
        <v>0.01</v>
      </c>
      <c r="AF66" s="1">
        <f>IF(ISBLANK(MarketData!AF64),"",MarketData!AF64)</f>
        <v>61.82</v>
      </c>
      <c r="AG66" s="1" t="str">
        <f>IF(ISBLANK(MarketData!AG64),"",MarketData!AG64)</f>
        <v/>
      </c>
      <c r="AH66" s="1" t="str">
        <f>IF(ISBLANK(MarketData!AH64),"",MarketData!AH64)</f>
        <v/>
      </c>
      <c r="AI66" s="1">
        <f>IF(ISBLANK(MarketData!AI64),"",MarketData!AI64)</f>
        <v>0.01</v>
      </c>
      <c r="AJ66" s="1">
        <f>IF(ISBLANK(MarketData!AJ64),"",MarketData!AJ64)</f>
        <v>61.81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61.8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62.89</v>
      </c>
      <c r="E67" s="1">
        <f>IF(ISBLANK(MarketData!E65),"",MarketData!E65)</f>
        <v>1</v>
      </c>
      <c r="F67" s="1">
        <f>IF(ISBLANK(MarketData!F65),"",MarketData!F65)</f>
        <v>62.91</v>
      </c>
      <c r="G67" s="1">
        <f>IF(ISBLANK(MarketData!G65),"",MarketData!G65)</f>
        <v>0.01</v>
      </c>
      <c r="H67" s="1">
        <f>IF(ISBLANK(MarketData!H65),"",MarketData!H65)</f>
        <v>62.88</v>
      </c>
      <c r="I67" s="1">
        <f>IF(ISBLANK(MarketData!I65),"",MarketData!I65)</f>
        <v>0.01</v>
      </c>
      <c r="J67" s="1">
        <f>IF(ISBLANK(MarketData!J65),"",MarketData!J65)</f>
        <v>62.92</v>
      </c>
      <c r="K67" s="1">
        <f>IF(ISBLANK(MarketData!K65),"",MarketData!K65)</f>
        <v>0.01</v>
      </c>
      <c r="L67" s="1">
        <f>IF(ISBLANK(MarketData!L65),"",MarketData!L65)</f>
        <v>62.87</v>
      </c>
      <c r="M67" s="1">
        <f>IF(ISBLANK(MarketData!M65),"",MarketData!M65)</f>
        <v>0.01</v>
      </c>
      <c r="N67" s="1">
        <f>IF(ISBLANK(MarketData!N65),"",MarketData!N65)</f>
        <v>62.93</v>
      </c>
      <c r="O67" s="1" t="str">
        <f>IF(ISBLANK(MarketData!O65),"",MarketData!O65)</f>
        <v/>
      </c>
      <c r="P67" s="1" t="str">
        <f>IF(ISBLANK(MarketData!P65),"",MarketData!P65)</f>
        <v/>
      </c>
      <c r="Q67" s="1">
        <f>IF(ISBLANK(MarketData!Q65),"",MarketData!Q65)</f>
        <v>0.01</v>
      </c>
      <c r="R67" s="1">
        <f>IF(ISBLANK(MarketData!R65),"",MarketData!R65)</f>
        <v>62.94</v>
      </c>
      <c r="S67" s="1" t="str">
        <f>IF(ISBLANK(MarketData!S65),"",MarketData!S65)</f>
        <v/>
      </c>
      <c r="T67" s="1" t="str">
        <f>IF(ISBLANK(MarketData!T65),"",MarketData!T65)</f>
        <v/>
      </c>
      <c r="U67" s="1">
        <f>IF(ISBLANK(MarketData!U65),"",MarketData!U65)</f>
        <v>0.01</v>
      </c>
      <c r="V67" s="1">
        <f>IF(ISBLANK(MarketData!V65),"",MarketData!V65)</f>
        <v>62.95</v>
      </c>
      <c r="W67" s="1" t="str">
        <f>IF(ISBLANK(MarketData!W65),"",MarketData!W65)</f>
        <v/>
      </c>
      <c r="X67" s="1" t="str">
        <f>IF(ISBLANK(MarketData!X65),"",MarketData!X65)</f>
        <v/>
      </c>
      <c r="Y67" s="1">
        <f>IF(ISBLANK(MarketData!Y65),"",MarketData!Y65)</f>
        <v>0.01</v>
      </c>
      <c r="Z67" s="1">
        <f>IF(ISBLANK(MarketData!Z65),"",MarketData!Z65)</f>
        <v>62.96</v>
      </c>
      <c r="AA67" s="1" t="str">
        <f>IF(ISBLANK(MarketData!AA65),"",MarketData!AA65)</f>
        <v/>
      </c>
      <c r="AB67" s="1" t="str">
        <f>IF(ISBLANK(MarketData!AB65),"",MarketData!AB65)</f>
        <v/>
      </c>
      <c r="AC67" s="1">
        <f>IF(ISBLANK(MarketData!AC65),"",MarketData!AC65)</f>
        <v>0.01</v>
      </c>
      <c r="AD67" s="1">
        <f>IF(ISBLANK(MarketData!AD65),"",MarketData!AD65)</f>
        <v>62.97</v>
      </c>
      <c r="AE67" s="1" t="str">
        <f>IF(ISBLANK(MarketData!AE65),"",MarketData!AE65)</f>
        <v/>
      </c>
      <c r="AF67" s="1" t="str">
        <f>IF(ISBLANK(MarketData!AF65),"",MarketData!AF65)</f>
        <v/>
      </c>
      <c r="AG67" s="1">
        <f>IF(ISBLANK(MarketData!AG65),"",MarketData!AG65)</f>
        <v>0.01</v>
      </c>
      <c r="AH67" s="1">
        <f>IF(ISBLANK(MarketData!AH65),"",MarketData!AH65)</f>
        <v>62.98</v>
      </c>
      <c r="AI67" s="1" t="str">
        <f>IF(ISBLANK(MarketData!AI65),"",MarketData!AI65)</f>
        <v/>
      </c>
      <c r="AJ67" s="1" t="str">
        <f>IF(ISBLANK(MarketData!AJ65),"",MarketData!AJ65)</f>
        <v/>
      </c>
      <c r="AK67" s="1">
        <f>IF(ISBLANK(MarketData!AK65),"",MarketData!AK65)</f>
        <v>0.01</v>
      </c>
      <c r="AL67" s="1">
        <f>IF(ISBLANK(MarketData!AL65),"",MarketData!AL65)</f>
        <v>62.99</v>
      </c>
      <c r="AM67" s="1" t="str">
        <f>IF(ISBLANK(MarketData!AM65),"",MarketData!AM65)</f>
        <v/>
      </c>
      <c r="AN67" s="1" t="str">
        <f>IF(ISBLANK(MarketData!AN65),"",MarketData!AN65)</f>
        <v/>
      </c>
      <c r="AO67" s="1">
        <f>IF(ISBLANK(MarketData!AO65),"",MarketData!AO65)</f>
        <v>0.01</v>
      </c>
      <c r="AP67" s="1">
        <f>IF(ISBLANK(MarketData!AP65),"",MarketData!AP65)</f>
        <v>63</v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"/>
  <sheetViews>
    <sheetView tabSelected="1" workbookViewId="0">
      <selection activeCell="J6" sqref="J6"/>
    </sheetView>
  </sheetViews>
  <sheetFormatPr defaultRowHeight="15" x14ac:dyDescent="0.25"/>
  <cols>
    <col min="1" max="1" width="15.85546875" customWidth="1"/>
    <col min="2" max="2" width="9.85546875" customWidth="1"/>
    <col min="3" max="3" width="17.7109375" customWidth="1"/>
    <col min="4" max="4" width="22.42578125" customWidth="1"/>
    <col min="5" max="5" width="19.7109375" customWidth="1"/>
    <col min="6" max="6" width="11.140625" customWidth="1"/>
    <col min="7" max="7" width="18.85546875" customWidth="1"/>
    <col min="8" max="8" width="20.42578125" customWidth="1"/>
    <col min="9" max="9" width="15" customWidth="1"/>
  </cols>
  <sheetData>
    <row r="1" spans="1:10" x14ac:dyDescent="0.25">
      <c r="A1" s="1"/>
      <c r="B1" s="1" t="s">
        <v>177</v>
      </c>
      <c r="C1" s="1" t="s">
        <v>178</v>
      </c>
      <c r="D1" s="1" t="s">
        <v>179</v>
      </c>
      <c r="E1" s="1" t="s">
        <v>180</v>
      </c>
      <c r="F1" s="1" t="s">
        <v>187</v>
      </c>
      <c r="G1" s="1" t="s">
        <v>188</v>
      </c>
      <c r="H1" s="1" t="s">
        <v>189</v>
      </c>
      <c r="I1" s="1" t="s">
        <v>190</v>
      </c>
      <c r="J1" s="1" t="s">
        <v>191</v>
      </c>
    </row>
    <row r="2" spans="1:10" x14ac:dyDescent="0.25">
      <c r="A2" s="1" t="s">
        <v>181</v>
      </c>
      <c r="B2" s="1"/>
      <c r="C2" s="1"/>
      <c r="D2" s="1">
        <v>67</v>
      </c>
      <c r="E2" s="1"/>
      <c r="F2" s="1"/>
      <c r="G2" s="1"/>
      <c r="H2" s="1"/>
      <c r="I2" s="1"/>
      <c r="J2" s="1"/>
    </row>
    <row r="3" spans="1:10" x14ac:dyDescent="0.25">
      <c r="A3" s="1" t="s">
        <v>182</v>
      </c>
      <c r="B3" s="1"/>
      <c r="C3" s="1"/>
      <c r="D3" s="1">
        <v>27</v>
      </c>
      <c r="E3" s="1">
        <v>90</v>
      </c>
      <c r="F3" s="1"/>
      <c r="G3" s="1"/>
      <c r="H3" s="1"/>
      <c r="I3" s="1"/>
      <c r="J3" s="1"/>
    </row>
    <row r="4" spans="1:10" x14ac:dyDescent="0.25">
      <c r="A4" s="1" t="s">
        <v>183</v>
      </c>
      <c r="B4" s="1">
        <v>68</v>
      </c>
      <c r="C4" s="1"/>
      <c r="D4" s="1"/>
      <c r="E4" s="1">
        <v>69</v>
      </c>
      <c r="F4" s="1"/>
      <c r="G4" s="1"/>
      <c r="H4" s="1"/>
      <c r="I4" s="1"/>
      <c r="J4" s="1"/>
    </row>
    <row r="5" spans="1:10" x14ac:dyDescent="0.25">
      <c r="A5" s="1" t="s">
        <v>184</v>
      </c>
      <c r="B5" s="1"/>
      <c r="C5" s="1"/>
      <c r="D5" s="1">
        <v>68</v>
      </c>
      <c r="E5" s="1"/>
      <c r="F5" s="1"/>
      <c r="G5" s="1"/>
      <c r="H5" s="1"/>
      <c r="I5" s="1"/>
      <c r="J5" s="1"/>
    </row>
    <row r="6" spans="1:10" x14ac:dyDescent="0.25">
      <c r="A6" s="1" t="s">
        <v>185</v>
      </c>
      <c r="B6" s="1"/>
      <c r="C6" s="1">
        <v>83</v>
      </c>
      <c r="D6" s="1"/>
      <c r="E6" s="1"/>
      <c r="F6" s="1">
        <v>2</v>
      </c>
      <c r="G6" s="1">
        <v>33</v>
      </c>
      <c r="H6" s="1">
        <v>1</v>
      </c>
      <c r="I6" s="1">
        <v>0.1</v>
      </c>
      <c r="J6" s="1"/>
    </row>
    <row r="7" spans="1:10" x14ac:dyDescent="0.25">
      <c r="A7" s="1" t="s">
        <v>186</v>
      </c>
      <c r="B7" s="1"/>
      <c r="C7" s="1"/>
      <c r="D7" s="1"/>
      <c r="E7" s="1"/>
      <c r="F7" s="1"/>
      <c r="G7" s="1"/>
      <c r="H7" s="1"/>
      <c r="I7" s="1"/>
      <c r="J7" s="1"/>
    </row>
    <row r="8" spans="1:10" x14ac:dyDescent="0.25">
      <c r="A8" s="1"/>
      <c r="B8" s="1"/>
      <c r="C8" s="1"/>
      <c r="D8" s="1"/>
      <c r="E8" s="1"/>
    </row>
    <row r="9" spans="1:10" x14ac:dyDescent="0.25">
      <c r="A9" s="1"/>
      <c r="B9" s="1"/>
      <c r="C9" s="1"/>
      <c r="D9" s="1"/>
      <c r="E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2014-08-26T19:14:37Z</dcterms:modified>
</cp:coreProperties>
</file>
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firstSheet="2" activeTab="5"/>
  </bookViews>
  <sheets>
    <sheet name="PriceData" sheetId="1" r:id="rId1"/>
    <sheet name="orderbook" sheetId="4" r:id="rId2"/>
    <sheet name="MD_check" sheetId="2" r:id="rId3"/>
    <sheet name="Positions" sheetId="8" r:id="rId4"/>
    <sheet name="Sheet2" sheetId="9" r:id="rId5"/>
    <sheet name="Reports" sheetId="10" r:id="rId6"/>
  </sheets>
  <functionGroups builtInGroupCount="18"/>
  <calcPr calcId="15251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7" i="4"/>
  <c r="E4" i="4"/>
  <c r="F12" i="4"/>
  <c r="F13" i="4"/>
  <c r="G13" i="4"/>
  <c r="D10" i="4"/>
  <c r="D4" i="4"/>
  <c r="G10" i="4"/>
  <c r="F11" i="4"/>
  <c r="E1" i="4"/>
  <c r="E8" i="4"/>
  <c r="G5" i="4"/>
  <c r="E9" i="4"/>
  <c r="G4" i="4"/>
  <c r="D8" i="4"/>
  <c r="D7" i="4"/>
  <c r="F8" i="4"/>
  <c r="G8" i="4"/>
  <c r="E10" i="4"/>
  <c r="D5" i="4"/>
  <c r="D12" i="4"/>
  <c r="E6" i="4"/>
  <c r="G9" i="4"/>
  <c r="F5" i="4"/>
  <c r="C2" i="4"/>
  <c r="E11" i="4"/>
  <c r="D11" i="4"/>
  <c r="D13" i="4"/>
  <c r="D9" i="4"/>
  <c r="G7" i="4"/>
  <c r="G11" i="4"/>
  <c r="D6" i="4"/>
  <c r="F9" i="4"/>
  <c r="F6" i="4"/>
  <c r="G6" i="4"/>
  <c r="F10" i="4"/>
  <c r="F4" i="4"/>
  <c r="E5" i="4"/>
  <c r="E7" i="4"/>
  <c r="E13" i="4"/>
  <c r="E12" i="4"/>
  <c r="G12" i="4"/>
</calcChain>
</file>

<file path=xl/sharedStrings.xml><?xml version="1.0" encoding="utf-8"?>
<sst xmlns="http://schemas.openxmlformats.org/spreadsheetml/2006/main" count="69" uniqueCount="65">
  <si>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</si>
  <si>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</si>
  <si>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</si>
  <si>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</si>
  <si>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</si>
  <si>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</si>
  <si>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</si>
  <si>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</si>
  <si>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</si>
  <si>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</si>
  <si>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</si>
  <si>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</si>
  <si>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</si>
  <si>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</si>
  <si>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</si>
  <si>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</si>
  <si>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</si>
  <si>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</si>
  <si>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</si>
  <si>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</si>
  <si>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</si>
  <si>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</si>
  <si>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</si>
  <si>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</si>
  <si>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</si>
  <si>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</si>
  <si>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</si>
  <si>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</si>
  <si>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</si>
  <si>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</si>
  <si>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</si>
  <si>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</si>
  <si>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</si>
  <si>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</si>
  <si>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</si>
  <si>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</si>
  <si>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</si>
  <si>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</si>
  <si>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</si>
  <si>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</si>
  <si>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</si>
  <si>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</si>
  <si>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</si>
  <si>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</si>
  <si>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</si>
  <si>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</si>
  <si>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</si>
  <si>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</si>
  <si>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</si>
  <si>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</si>
  <si>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</si>
  <si>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</si>
  <si>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</si>
  <si>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</si>
  <si>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</si>
  <si>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</si>
  <si>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</si>
  <si>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2014-09-05T20:59:58.392Z</t>
  </si>
  <si>
    <t>2014-09-05T20:59:58.391Z</t>
  </si>
  <si>
    <t>2014-09-05T20:59:58.496Z</t>
  </si>
  <si>
    <t>TEST_REF_USDTRY</t>
  </si>
  <si>
    <t>TEST_REF_EURUSD</t>
  </si>
  <si>
    <t>2014-09-06T16:00:11.713Z</t>
  </si>
  <si>
    <t>orderRoundtripTime</t>
  </si>
  <si>
    <t>Scalper_EURUSD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</si>
</sst>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0"/>
  <sheetViews>
    <sheetView workbookViewId="0">
      <selection activeCell="A10" sqref="A10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49</v>
      </c>
      <c r="B2" s="2" t="s">
        <v>57</v>
      </c>
      <c r="C2" s="3">
        <v>1</v>
      </c>
      <c r="D2" s="3">
        <v>1.2948500000000001</v>
      </c>
      <c r="E2" s="3">
        <v>1</v>
      </c>
      <c r="F2" s="3">
        <v>1.2954399999999999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50</v>
      </c>
      <c r="B3" s="2" t="s">
        <v>59</v>
      </c>
      <c r="C3" s="2">
        <v>1</v>
      </c>
      <c r="D3" s="2">
        <v>0.79303000000000001</v>
      </c>
      <c r="E3" s="2">
        <v>1</v>
      </c>
      <c r="F3" s="2">
        <v>0.79342999999999997</v>
      </c>
    </row>
    <row r="4" spans="1:42" x14ac:dyDescent="0.25">
      <c r="A4" s="2" t="s">
        <v>51</v>
      </c>
      <c r="B4" s="2" t="s">
        <v>58</v>
      </c>
      <c r="C4" s="2">
        <v>1</v>
      </c>
      <c r="D4" s="2">
        <v>136.09100000000001</v>
      </c>
      <c r="E4" s="2">
        <v>1</v>
      </c>
      <c r="F4" s="2">
        <v>136.13300000000001</v>
      </c>
    </row>
    <row r="5" spans="1:42" x14ac:dyDescent="0.25">
      <c r="A5" s="2" t="s">
        <v>52</v>
      </c>
      <c r="B5" s="2" t="s">
        <v>57</v>
      </c>
      <c r="C5" s="2">
        <v>1</v>
      </c>
      <c r="D5" s="12">
        <v>1.63225</v>
      </c>
      <c r="E5" s="12">
        <v>1</v>
      </c>
      <c r="F5" s="12">
        <v>1.6331500000000001</v>
      </c>
    </row>
    <row r="6" spans="1:42" x14ac:dyDescent="0.25">
      <c r="A6" s="2" t="s">
        <v>53</v>
      </c>
      <c r="B6" s="12" t="s">
        <v>58</v>
      </c>
      <c r="C6" s="12">
        <v>1</v>
      </c>
      <c r="D6" s="12">
        <v>171.53700000000001</v>
      </c>
      <c r="E6" s="12">
        <v>1</v>
      </c>
      <c r="F6" s="12">
        <v>171.619</v>
      </c>
    </row>
    <row r="7" spans="1:42" x14ac:dyDescent="0.25">
      <c r="A7" s="2" t="s">
        <v>54</v>
      </c>
      <c r="B7" s="12" t="s">
        <v>58</v>
      </c>
      <c r="C7" s="12">
        <v>1</v>
      </c>
      <c r="D7" s="12">
        <v>105.063</v>
      </c>
      <c r="E7" s="12">
        <v>1</v>
      </c>
      <c r="F7" s="12">
        <v>105.104</v>
      </c>
    </row>
    <row r="9" spans="1:42" x14ac:dyDescent="0.25">
      <c r="A9" s="12" t="s">
        <v>61</v>
      </c>
      <c r="B9" s="12" t="s">
        <v>62</v>
      </c>
      <c r="C9" s="12">
        <v>1</v>
      </c>
      <c r="D9" s="12">
        <v>0.81</v>
      </c>
      <c r="E9" s="12">
        <v>1</v>
      </c>
      <c r="F9" s="12">
        <v>0.83</v>
      </c>
      <c r="G9" s="12">
        <v>0.01</v>
      </c>
      <c r="H9" s="12">
        <v>0.8</v>
      </c>
      <c r="I9" s="12">
        <v>0.01</v>
      </c>
      <c r="J9" s="12">
        <v>0.84</v>
      </c>
      <c r="K9" s="12">
        <v>0.01</v>
      </c>
      <c r="L9" s="12">
        <v>0.79</v>
      </c>
      <c r="M9" s="12">
        <v>0.01</v>
      </c>
      <c r="N9" s="12">
        <v>0.85</v>
      </c>
      <c r="O9" s="12">
        <v>0.01</v>
      </c>
      <c r="P9" s="12">
        <v>0.78</v>
      </c>
      <c r="Q9" s="12">
        <v>0.01</v>
      </c>
      <c r="R9" s="12">
        <v>0.86</v>
      </c>
      <c r="U9" s="12">
        <v>0.01</v>
      </c>
      <c r="V9" s="12">
        <v>0.87</v>
      </c>
      <c r="Y9" s="12">
        <v>0.01</v>
      </c>
      <c r="Z9" s="12">
        <v>0.88</v>
      </c>
      <c r="AC9" s="12">
        <v>0.01</v>
      </c>
      <c r="AD9" s="12">
        <v>0.89</v>
      </c>
    </row>
    <row r="10" spans="1:42" x14ac:dyDescent="0.25">
      <c r="A10" s="12" t="s">
        <v>60</v>
      </c>
      <c r="B10" s="12" t="s">
        <v>62</v>
      </c>
      <c r="C10" s="12">
        <v>1</v>
      </c>
      <c r="D10" s="12">
        <v>1.81</v>
      </c>
      <c r="E10" s="12">
        <v>1</v>
      </c>
      <c r="F10" s="12">
        <v>1.83</v>
      </c>
      <c r="G10" s="12">
        <v>0.01</v>
      </c>
      <c r="H10" s="12">
        <v>1.8</v>
      </c>
      <c r="I10" s="12">
        <v>0.01</v>
      </c>
      <c r="J10" s="12">
        <v>1.84</v>
      </c>
      <c r="M10" s="12">
        <v>0.01</v>
      </c>
      <c r="N10" s="12">
        <v>1.85</v>
      </c>
      <c r="Q10" s="12">
        <v>0.01</v>
      </c>
      <c r="R10" s="12">
        <v>1.86</v>
      </c>
      <c r="U10" s="12">
        <v>0.01</v>
      </c>
      <c r="V10" s="12">
        <v>1.87</v>
      </c>
      <c r="Y10" s="12">
        <v>0.01</v>
      </c>
      <c r="Z10" s="12">
        <v>1.88</v>
      </c>
      <c r="AC10" s="12">
        <v>0.01</v>
      </c>
      <c r="AD10" s="12">
        <v>1.89</v>
      </c>
      <c r="AG10" s="12">
        <v>0.01</v>
      </c>
      <c r="AH10" s="12">
        <v>1.9</v>
      </c>
      <c r="AK10" s="12">
        <v>0.01</v>
      </c>
      <c r="AL10" s="12">
        <v>1.91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10</v>
      </c>
      <c r="E1" s="1" t="str">
        <f ca="1">INDIRECT("PriceData!b"&amp;$C$1)</f>
        <v>2014-09-06T16:00:11.713Z</v>
      </c>
    </row>
    <row r="2" spans="2:7" x14ac:dyDescent="0.25">
      <c r="C2" s="14" t="str">
        <f ca="1">INDIRECT("PriceData!A"&amp;$C$1)</f>
        <v>TEST_REF_USDTRY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1.81</v>
      </c>
      <c r="F4" s="19">
        <f ca="1">INDIRECT("PriceData!f"&amp;C1)</f>
        <v>1.83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0.01</v>
      </c>
      <c r="E5" s="17">
        <f ca="1">INDIRECT("PriceData!h"&amp;C1)</f>
        <v>1.8</v>
      </c>
      <c r="F5" s="19">
        <f ca="1">INDIRECT("PriceData!j"&amp;C1)</f>
        <v>1.84</v>
      </c>
      <c r="G5" s="18">
        <f ca="1">INDIRECT("PriceData!i"&amp;C1)</f>
        <v>0.01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1.85</v>
      </c>
      <c r="G6" s="18">
        <f ca="1">INDIRECT("PriceData!m"&amp;C1)</f>
        <v>0.01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1.86</v>
      </c>
      <c r="G7" s="18">
        <f ca="1">INDIRECT("PriceData!q"&amp;C1)</f>
        <v>0.01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1.87</v>
      </c>
      <c r="G8" s="18">
        <f ca="1">INDIRECT("PriceData!u"&amp;$C$1)</f>
        <v>0.01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1.88</v>
      </c>
      <c r="G9" s="18">
        <f ca="1">INDIRECT("PriceData!y"&amp;$C$1)</f>
        <v>0.01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1.89</v>
      </c>
      <c r="G10" s="18">
        <f ca="1">INDIRECT("PriceData!ac"&amp;$C$1)</f>
        <v>0.01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1.9</v>
      </c>
      <c r="G11" s="18">
        <f ca="1">INDIRECT("PriceData!ag"&amp;$C$1)</f>
        <v>0.01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1.91</v>
      </c>
      <c r="G12" s="18">
        <f ca="1">INDIRECT("PriceData!ak"&amp;$C$1)</f>
        <v>0.01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41889.301944444444</v>
      </c>
    </row>
    <row r="2" spans="1:92" s="1" customFormat="1" x14ac:dyDescent="0.25">
      <c r="A2" s="11"/>
      <c r="B2" s="1" t="s">
        <v>41</v>
      </c>
      <c r="C2" s="1">
        <v>12</v>
      </c>
      <c r="D2" s="1">
        <v>253</v>
      </c>
      <c r="E2" s="1">
        <v>12</v>
      </c>
      <c r="F2" s="1">
        <v>253</v>
      </c>
      <c r="G2" s="1">
        <v>5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1.2948500000000001</v>
      </c>
      <c r="E4" s="1">
        <f>IF(ISBLANK(PriceData!E2),"",PriceData!E2)</f>
        <v>1</v>
      </c>
      <c r="F4" s="1">
        <f>IF(ISBLANK(PriceData!F2),"",PriceData!F2)</f>
        <v>1.2954399999999999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0.79303000000000001</v>
      </c>
      <c r="E5" s="1">
        <f>IF(ISBLANK(PriceData!E3),"",PriceData!E3)</f>
        <v>1</v>
      </c>
      <c r="F5" s="1">
        <f>IF(ISBLANK(PriceData!F3),"",PriceData!F3)</f>
        <v>0.79342999999999997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136.09100000000001</v>
      </c>
      <c r="E6" s="1">
        <f>IF(ISBLANK(PriceData!E4),"",PriceData!E4)</f>
        <v>1</v>
      </c>
      <c r="F6" s="1">
        <f>IF(ISBLANK(PriceData!F4),"",PriceData!F4)</f>
        <v>136.13300000000001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1.63225</v>
      </c>
      <c r="E7" s="1">
        <f>IF(ISBLANK(PriceData!E5),"",PriceData!E5)</f>
        <v>1</v>
      </c>
      <c r="F7" s="1">
        <f>IF(ISBLANK(PriceData!F5),"",PriceData!F5)</f>
        <v>1.6331500000000001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171.53700000000001</v>
      </c>
      <c r="E8" s="1">
        <f>IF(ISBLANK(PriceData!E6),"",PriceData!E6)</f>
        <v>1</v>
      </c>
      <c r="F8" s="1">
        <f>IF(ISBLANK(PriceData!F6),"",PriceData!F6)</f>
        <v>171.619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105.063</v>
      </c>
      <c r="E9" s="1">
        <f>IF(ISBLANK(PriceData!E7),"",PriceData!E7)</f>
        <v>1</v>
      </c>
      <c r="F9" s="1">
        <f>IF(ISBLANK(PriceData!F7),"",PriceData!F7)</f>
        <v>105.104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>TEST_REF_EURUSD</v>
      </c>
      <c r="C11" s="1">
        <f>IF(ISBLANK(PriceData!C9),"",PriceData!C9)</f>
        <v>1</v>
      </c>
      <c r="D11" s="1">
        <f>IF(ISBLANK(PriceData!D9),"",PriceData!D9)</f>
        <v>0.81</v>
      </c>
      <c r="E11" s="1">
        <f>IF(ISBLANK(PriceData!E9),"",PriceData!E9)</f>
        <v>1</v>
      </c>
      <c r="F11" s="1">
        <f>IF(ISBLANK(PriceData!F9),"",PriceData!F9)</f>
        <v>0.83</v>
      </c>
      <c r="G11" s="1">
        <f>IF(ISBLANK(PriceData!G9),"",PriceData!G9)</f>
        <v>0.01</v>
      </c>
      <c r="H11" s="1">
        <f>IF(ISBLANK(PriceData!H9),"",PriceData!H9)</f>
        <v>0.8</v>
      </c>
      <c r="I11" s="1">
        <f>IF(ISBLANK(PriceData!I9),"",PriceData!I9)</f>
        <v>0.01</v>
      </c>
      <c r="J11" s="1">
        <f>IF(ISBLANK(PriceData!J9),"",PriceData!J9)</f>
        <v>0.84</v>
      </c>
      <c r="K11" s="1">
        <f>IF(ISBLANK(PriceData!K9),"",PriceData!K9)</f>
        <v>0.01</v>
      </c>
      <c r="L11" s="1">
        <f>IF(ISBLANK(PriceData!L9),"",PriceData!L9)</f>
        <v>0.79</v>
      </c>
      <c r="M11" s="1">
        <f>IF(ISBLANK(PriceData!M9),"",PriceData!M9)</f>
        <v>0.01</v>
      </c>
      <c r="N11" s="1">
        <f>IF(ISBLANK(PriceData!N9),"",PriceData!N9)</f>
        <v>0.85</v>
      </c>
      <c r="O11" s="1">
        <f>IF(ISBLANK(PriceData!O9),"",PriceData!O9)</f>
        <v>0.01</v>
      </c>
      <c r="P11" s="1">
        <f>IF(ISBLANK(PriceData!P9),"",PriceData!P9)</f>
        <v>0.78</v>
      </c>
      <c r="Q11" s="1">
        <f>IF(ISBLANK(PriceData!Q9),"",PriceData!Q9)</f>
        <v>0.01</v>
      </c>
      <c r="R11" s="1">
        <f>IF(ISBLANK(PriceData!R9),"",PriceData!R9)</f>
        <v>0.86</v>
      </c>
      <c r="S11" s="1" t="str">
        <f>IF(ISBLANK(PriceData!S9),"",PriceData!S9)</f>
        <v/>
      </c>
      <c r="T11" s="1" t="str">
        <f>IF(ISBLANK(PriceData!T9),"",PriceData!T9)</f>
        <v/>
      </c>
      <c r="U11" s="1">
        <f>IF(ISBLANK(PriceData!U9),"",PriceData!U9)</f>
        <v>0.01</v>
      </c>
      <c r="V11" s="1">
        <f>IF(ISBLANK(PriceData!V9),"",PriceData!V9)</f>
        <v>0.87</v>
      </c>
      <c r="W11" s="1" t="str">
        <f>IF(ISBLANK(PriceData!W9),"",PriceData!W9)</f>
        <v/>
      </c>
      <c r="X11" s="1" t="str">
        <f>IF(ISBLANK(PriceData!X9),"",PriceData!X9)</f>
        <v/>
      </c>
      <c r="Y11" s="1">
        <f>IF(ISBLANK(PriceData!Y9),"",PriceData!Y9)</f>
        <v>0.01</v>
      </c>
      <c r="Z11" s="1">
        <f>IF(ISBLANK(PriceData!Z9),"",PriceData!Z9)</f>
        <v>0.88</v>
      </c>
      <c r="AA11" s="1" t="str">
        <f>IF(ISBLANK(PriceData!AA9),"",PriceData!AA9)</f>
        <v/>
      </c>
      <c r="AB11" s="1" t="str">
        <f>IF(ISBLANK(PriceData!AB9),"",PriceData!AB9)</f>
        <v/>
      </c>
      <c r="AC11" s="1">
        <f>IF(ISBLANK(PriceData!AC9),"",PriceData!AC9)</f>
        <v>0.01</v>
      </c>
      <c r="AD11" s="1">
        <f>IF(ISBLANK(PriceData!AD9),"",PriceData!AD9)</f>
        <v>0.89</v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>TEST_REF_USDTRY</v>
      </c>
      <c r="C12" s="1">
        <f>IF(ISBLANK(PriceData!C10),"",PriceData!C10)</f>
        <v>1</v>
      </c>
      <c r="D12" s="1">
        <f>IF(ISBLANK(PriceData!D10),"",PriceData!D10)</f>
        <v>1.81</v>
      </c>
      <c r="E12" s="1">
        <f>IF(ISBLANK(PriceData!E10),"",PriceData!E10)</f>
        <v>1</v>
      </c>
      <c r="F12" s="1">
        <f>IF(ISBLANK(PriceData!F10),"",PriceData!F10)</f>
        <v>1.83</v>
      </c>
      <c r="G12" s="1">
        <f>IF(ISBLANK(PriceData!G10),"",PriceData!G10)</f>
        <v>0.01</v>
      </c>
      <c r="H12" s="1">
        <f>IF(ISBLANK(PriceData!H10),"",PriceData!H10)</f>
        <v>1.8</v>
      </c>
      <c r="I12" s="1">
        <f>IF(ISBLANK(PriceData!I10),"",PriceData!I10)</f>
        <v>0.01</v>
      </c>
      <c r="J12" s="1">
        <f>IF(ISBLANK(PriceData!J10),"",PriceData!J10)</f>
        <v>1.84</v>
      </c>
      <c r="K12" s="1" t="str">
        <f>IF(ISBLANK(PriceData!K10),"",PriceData!K10)</f>
        <v/>
      </c>
      <c r="L12" s="1" t="str">
        <f>IF(ISBLANK(PriceData!L10),"",PriceData!L10)</f>
        <v/>
      </c>
      <c r="M12" s="1">
        <f>IF(ISBLANK(PriceData!M10),"",PriceData!M10)</f>
        <v>0.01</v>
      </c>
      <c r="N12" s="1">
        <f>IF(ISBLANK(PriceData!N10),"",PriceData!N10)</f>
        <v>1.85</v>
      </c>
      <c r="O12" s="1" t="str">
        <f>IF(ISBLANK(PriceData!O10),"",PriceData!O10)</f>
        <v/>
      </c>
      <c r="P12" s="1" t="str">
        <f>IF(ISBLANK(PriceData!P10),"",PriceData!P10)</f>
        <v/>
      </c>
      <c r="Q12" s="1">
        <f>IF(ISBLANK(PriceData!Q10),"",PriceData!Q10)</f>
        <v>0.01</v>
      </c>
      <c r="R12" s="1">
        <f>IF(ISBLANK(PriceData!R10),"",PriceData!R10)</f>
        <v>1.86</v>
      </c>
      <c r="S12" s="1" t="str">
        <f>IF(ISBLANK(PriceData!S10),"",PriceData!S10)</f>
        <v/>
      </c>
      <c r="T12" s="1" t="str">
        <f>IF(ISBLANK(PriceData!T10),"",PriceData!T10)</f>
        <v/>
      </c>
      <c r="U12" s="1">
        <f>IF(ISBLANK(PriceData!U10),"",PriceData!U10)</f>
        <v>0.01</v>
      </c>
      <c r="V12" s="1">
        <f>IF(ISBLANK(PriceData!V10),"",PriceData!V10)</f>
        <v>1.87</v>
      </c>
      <c r="W12" s="1" t="str">
        <f>IF(ISBLANK(PriceData!W10),"",PriceData!W10)</f>
        <v/>
      </c>
      <c r="X12" s="1" t="str">
        <f>IF(ISBLANK(PriceData!X10),"",PriceData!X10)</f>
        <v/>
      </c>
      <c r="Y12" s="1">
        <f>IF(ISBLANK(PriceData!Y10),"",PriceData!Y10)</f>
        <v>0.01</v>
      </c>
      <c r="Z12" s="1">
        <f>IF(ISBLANK(PriceData!Z10),"",PriceData!Z10)</f>
        <v>1.88</v>
      </c>
      <c r="AA12" s="1" t="str">
        <f>IF(ISBLANK(PriceData!AA10),"",PriceData!AA10)</f>
        <v/>
      </c>
      <c r="AB12" s="1" t="str">
        <f>IF(ISBLANK(PriceData!AB10),"",PriceData!AB10)</f>
        <v/>
      </c>
      <c r="AC12" s="1">
        <f>IF(ISBLANK(PriceData!AC10),"",PriceData!AC10)</f>
        <v>0.01</v>
      </c>
      <c r="AD12" s="1">
        <f>IF(ISBLANK(PriceData!AD10),"",PriceData!AD10)</f>
        <v>1.89</v>
      </c>
      <c r="AE12" s="1" t="str">
        <f>IF(ISBLANK(PriceData!AE10),"",PriceData!AE10)</f>
        <v/>
      </c>
      <c r="AF12" s="1" t="str">
        <f>IF(ISBLANK(PriceData!AF10),"",PriceData!AF10)</f>
        <v/>
      </c>
      <c r="AG12" s="1">
        <f>IF(ISBLANK(PriceData!AG10),"",PriceData!AG10)</f>
        <v>0.01</v>
      </c>
      <c r="AH12" s="1">
        <f>IF(ISBLANK(PriceData!AH10),"",PriceData!AH10)</f>
        <v>1.9</v>
      </c>
      <c r="AI12" s="1" t="str">
        <f>IF(ISBLANK(PriceData!AI10),"",PriceData!AI10)</f>
        <v/>
      </c>
      <c r="AJ12" s="1" t="str">
        <f>IF(ISBLANK(PriceData!AJ10),"",PriceData!AJ10)</f>
        <v/>
      </c>
      <c r="AK12" s="1">
        <f>IF(ISBLANK(PriceData!AK10),"",PriceData!AK10)</f>
        <v>0.01</v>
      </c>
      <c r="AL12" s="1">
        <f>IF(ISBLANK(PriceData!AL10),"",PriceData!AL10)</f>
        <v>1.91</v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>
      <selection activeCell="F7" sqref="F7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55</v>
      </c>
      <c r="I1" t="s">
        <v>56</v>
      </c>
    </row>
    <row r="2" spans="3:9" x14ac:dyDescent="0.25">
      <c r="C2" t="str">
        <f>PriceData!A2</f>
        <v>TEST_OANDA_EURUSD</v>
      </c>
      <c r="D2">
        <f>PriceData!D2</f>
        <v>1.2948500000000001</v>
      </c>
      <c r="F2">
        <f>F$1*D2</f>
        <v>2.978155E-4</v>
      </c>
      <c r="G2">
        <v>1E-4</v>
      </c>
      <c r="H2">
        <f>F2/G2</f>
        <v>2.9781549999999997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0.79303000000000001</v>
      </c>
      <c r="F3" s="1">
        <f t="shared" ref="F3:F7" si="0">F$1*D3</f>
        <v>1.8239690000000002E-4</v>
      </c>
      <c r="G3">
        <v>1E-4</v>
      </c>
      <c r="H3" s="1">
        <f t="shared" ref="H3:H7" si="1">F3/G3</f>
        <v>1.8239690000000002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136.09100000000001</v>
      </c>
      <c r="F4" s="1">
        <f t="shared" si="0"/>
        <v>3.1300930000000005E-2</v>
      </c>
      <c r="G4">
        <v>0.01</v>
      </c>
      <c r="H4" s="1">
        <f t="shared" si="1"/>
        <v>3.1300930000000005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1.63225</v>
      </c>
      <c r="F5" s="1">
        <f t="shared" si="0"/>
        <v>3.7541750000000002E-4</v>
      </c>
      <c r="G5">
        <v>1E-4</v>
      </c>
      <c r="H5" s="1">
        <f t="shared" si="1"/>
        <v>3.754175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171.53700000000001</v>
      </c>
      <c r="F6" s="1">
        <f t="shared" si="0"/>
        <v>3.9453510000000004E-2</v>
      </c>
      <c r="G6">
        <v>0.01</v>
      </c>
      <c r="H6" s="1">
        <f t="shared" si="1"/>
        <v>3.9453510000000005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105.063</v>
      </c>
      <c r="F7" s="1">
        <f t="shared" si="0"/>
        <v>2.416449E-2</v>
      </c>
      <c r="G7">
        <v>0.01</v>
      </c>
      <c r="H7" s="1">
        <f t="shared" si="1"/>
        <v>2.4164490000000001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activeCell="C7" sqref="C7"/>
    </sheetView>
  </sheetViews>
  <sheetFormatPr defaultRowHeight="15" x14ac:dyDescent="0.25"/>
  <cols>
    <col min="1" max="1" width="14.85546875" customWidth="1"/>
    <col min="2" max="2" width="13.7109375" customWidth="1"/>
    <col min="3" max="3" width="20" customWidth="1"/>
    <col min="4" max="4" width="10.140625" customWidth="1"/>
    <col min="5" max="5" width="21" customWidth="1"/>
  </cols>
  <sheetData>
    <row r="1" spans="1:2" x14ac:dyDescent="0.25">
      <c r="B1" t="s">
        <v>63</v>
      </c>
    </row>
    <row r="2" spans="1:2" x14ac:dyDescent="0.25">
      <c r="A2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Positions</vt:lpstr>
      <vt:lpstr>Sheet2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2014-09-08T12:23:24Z</dcterms:modified>
</cp:coreProperties>
</file>
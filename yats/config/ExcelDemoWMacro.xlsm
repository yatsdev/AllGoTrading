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195" yWindow="135" windowWidth="13335" windowHeight="5805" activeTab="4"/>
  </bookViews>
  <sheets>
    <sheet name="orderbook" sheetId="4" r:id="rId1"/>
    <sheet name="MD_check" sheetId="2" r:id="rId2"/>
    <sheet name="Sheet2" sheetId="9" r:id="rId3"/>
    <sheet name="Settings" sheetId="13" r:id="rId4"/>
    <sheet name="Reports" sheetId="15" r:id="rId5"/>
    <sheet name="Prices" sheetId="1" r:id="rId6"/>
    <sheet name="Positions" sheetId="8" r:id="rId7"/>
  </sheets>
  <functionGroups builtInGroupCount="17"/>
  <calcPr calcId="145621"/>
</workbook>
</file>

<file path=xl/calcChain.xml><?xml version="1.0" encoding="utf-8"?>
<calcChain xmlns="http://schemas.openxmlformats.org/spreadsheetml/2006/main">
  <c r="C3" i="9" l="1"/>
  <c r="D3" i="9"/>
  <c r="F3" i="9" s="1"/>
  <c r="H3" i="9" s="1"/>
  <c r="I3" i="9" s="1"/>
  <c r="C4" i="9"/>
  <c r="D4" i="9"/>
  <c r="F4" i="9" s="1"/>
  <c r="H4" i="9" s="1"/>
  <c r="I4" i="9" s="1"/>
  <c r="C5" i="9"/>
  <c r="D5" i="9"/>
  <c r="F5" i="9" s="1"/>
  <c r="H5" i="9" s="1"/>
  <c r="I5" i="9" s="1"/>
  <c r="C6" i="9"/>
  <c r="D6" i="9"/>
  <c r="F6" i="9" s="1"/>
  <c r="H6" i="9" s="1"/>
  <c r="I6" i="9" s="1"/>
  <c r="C7" i="9"/>
  <c r="D7" i="9"/>
  <c r="F7" i="9" s="1"/>
  <c r="H7" i="9" s="1"/>
  <c r="I7" i="9" s="1"/>
  <c r="C2" i="9"/>
  <c r="D2" i="9"/>
  <c r="F2" i="9" s="1"/>
  <c r="H2" i="9" s="1"/>
  <c r="I2" i="9" s="1"/>
  <c r="B4" i="2" l="1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C4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X4" i="2"/>
  <c r="Y4" i="2"/>
  <c r="Z4" i="2"/>
  <c r="AA4" i="2"/>
  <c r="AB4" i="2"/>
  <c r="AC4" i="2"/>
  <c r="AD4" i="2"/>
  <c r="AE4" i="2"/>
  <c r="AF4" i="2"/>
  <c r="AG4" i="2"/>
  <c r="AH4" i="2"/>
  <c r="AI4" i="2"/>
  <c r="AJ4" i="2"/>
  <c r="AK4" i="2"/>
  <c r="AL4" i="2"/>
  <c r="AM4" i="2"/>
  <c r="AN4" i="2"/>
  <c r="AO4" i="2"/>
  <c r="AP4" i="2"/>
  <c r="AQ4" i="2"/>
  <c r="AR4" i="2"/>
  <c r="AS4" i="2"/>
  <c r="AT4" i="2"/>
  <c r="AU4" i="2"/>
  <c r="AV4" i="2"/>
  <c r="AW4" i="2"/>
  <c r="AX4" i="2"/>
  <c r="AY4" i="2"/>
  <c r="AZ4" i="2"/>
  <c r="BA4" i="2"/>
  <c r="BB4" i="2"/>
  <c r="BC4" i="2"/>
  <c r="BD4" i="2"/>
  <c r="BE4" i="2"/>
  <c r="BF4" i="2"/>
  <c r="BG4" i="2"/>
  <c r="BH4" i="2"/>
  <c r="BI4" i="2"/>
  <c r="BJ4" i="2"/>
  <c r="BK4" i="2"/>
  <c r="BL4" i="2"/>
  <c r="BM4" i="2"/>
  <c r="BN4" i="2"/>
  <c r="BO4" i="2"/>
  <c r="BP4" i="2"/>
  <c r="BQ4" i="2"/>
  <c r="BR4" i="2"/>
  <c r="BS4" i="2"/>
  <c r="BT4" i="2"/>
  <c r="BU4" i="2"/>
  <c r="BV4" i="2"/>
  <c r="BW4" i="2"/>
  <c r="BX4" i="2"/>
  <c r="BY4" i="2"/>
  <c r="BZ4" i="2"/>
  <c r="CA4" i="2"/>
  <c r="CB4" i="2"/>
  <c r="CC4" i="2"/>
  <c r="CD4" i="2"/>
  <c r="CE4" i="2"/>
  <c r="CF4" i="2"/>
  <c r="CG4" i="2"/>
  <c r="CH4" i="2"/>
  <c r="CI4" i="2"/>
  <c r="CJ4" i="2"/>
  <c r="CK4" i="2"/>
  <c r="CL4" i="2"/>
  <c r="CM4" i="2"/>
  <c r="CN4" i="2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Z5" i="2"/>
  <c r="AA5" i="2"/>
  <c r="AB5" i="2"/>
  <c r="AC5" i="2"/>
  <c r="AD5" i="2"/>
  <c r="AE5" i="2"/>
  <c r="AF5" i="2"/>
  <c r="AG5" i="2"/>
  <c r="AH5" i="2"/>
  <c r="AI5" i="2"/>
  <c r="AJ5" i="2"/>
  <c r="AK5" i="2"/>
  <c r="AL5" i="2"/>
  <c r="AM5" i="2"/>
  <c r="AN5" i="2"/>
  <c r="AO5" i="2"/>
  <c r="AP5" i="2"/>
  <c r="AQ5" i="2"/>
  <c r="AR5" i="2"/>
  <c r="AS5" i="2"/>
  <c r="AT5" i="2"/>
  <c r="AU5" i="2"/>
  <c r="AV5" i="2"/>
  <c r="AW5" i="2"/>
  <c r="AX5" i="2"/>
  <c r="AY5" i="2"/>
  <c r="AZ5" i="2"/>
  <c r="BA5" i="2"/>
  <c r="BB5" i="2"/>
  <c r="BC5" i="2"/>
  <c r="BD5" i="2"/>
  <c r="BE5" i="2"/>
  <c r="BF5" i="2"/>
  <c r="BG5" i="2"/>
  <c r="BH5" i="2"/>
  <c r="BI5" i="2"/>
  <c r="BJ5" i="2"/>
  <c r="BK5" i="2"/>
  <c r="BL5" i="2"/>
  <c r="BM5" i="2"/>
  <c r="BN5" i="2"/>
  <c r="BO5" i="2"/>
  <c r="BP5" i="2"/>
  <c r="BQ5" i="2"/>
  <c r="BR5" i="2"/>
  <c r="BS5" i="2"/>
  <c r="BT5" i="2"/>
  <c r="BU5" i="2"/>
  <c r="BV5" i="2"/>
  <c r="BW5" i="2"/>
  <c r="BX5" i="2"/>
  <c r="BY5" i="2"/>
  <c r="BZ5" i="2"/>
  <c r="CA5" i="2"/>
  <c r="CB5" i="2"/>
  <c r="CC5" i="2"/>
  <c r="CD5" i="2"/>
  <c r="CE5" i="2"/>
  <c r="CF5" i="2"/>
  <c r="CG5" i="2"/>
  <c r="CH5" i="2"/>
  <c r="CI5" i="2"/>
  <c r="CJ5" i="2"/>
  <c r="CK5" i="2"/>
  <c r="CL5" i="2"/>
  <c r="CM5" i="2"/>
  <c r="CN5" i="2"/>
  <c r="C6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T6" i="2"/>
  <c r="U6" i="2"/>
  <c r="V6" i="2"/>
  <c r="W6" i="2"/>
  <c r="X6" i="2"/>
  <c r="Y6" i="2"/>
  <c r="Z6" i="2"/>
  <c r="AA6" i="2"/>
  <c r="AB6" i="2"/>
  <c r="AC6" i="2"/>
  <c r="AD6" i="2"/>
  <c r="AE6" i="2"/>
  <c r="AF6" i="2"/>
  <c r="AG6" i="2"/>
  <c r="AH6" i="2"/>
  <c r="AI6" i="2"/>
  <c r="AJ6" i="2"/>
  <c r="AK6" i="2"/>
  <c r="AL6" i="2"/>
  <c r="AM6" i="2"/>
  <c r="AN6" i="2"/>
  <c r="AO6" i="2"/>
  <c r="AP6" i="2"/>
  <c r="AQ6" i="2"/>
  <c r="AR6" i="2"/>
  <c r="AS6" i="2"/>
  <c r="AT6" i="2"/>
  <c r="AU6" i="2"/>
  <c r="AV6" i="2"/>
  <c r="AW6" i="2"/>
  <c r="AX6" i="2"/>
  <c r="AY6" i="2"/>
  <c r="AZ6" i="2"/>
  <c r="BA6" i="2"/>
  <c r="BB6" i="2"/>
  <c r="BC6" i="2"/>
  <c r="BD6" i="2"/>
  <c r="BE6" i="2"/>
  <c r="BF6" i="2"/>
  <c r="BG6" i="2"/>
  <c r="BH6" i="2"/>
  <c r="BI6" i="2"/>
  <c r="BJ6" i="2"/>
  <c r="BK6" i="2"/>
  <c r="BL6" i="2"/>
  <c r="BM6" i="2"/>
  <c r="BN6" i="2"/>
  <c r="BO6" i="2"/>
  <c r="BP6" i="2"/>
  <c r="BQ6" i="2"/>
  <c r="BR6" i="2"/>
  <c r="BS6" i="2"/>
  <c r="BT6" i="2"/>
  <c r="BU6" i="2"/>
  <c r="BV6" i="2"/>
  <c r="BW6" i="2"/>
  <c r="BX6" i="2"/>
  <c r="BY6" i="2"/>
  <c r="BZ6" i="2"/>
  <c r="CA6" i="2"/>
  <c r="CB6" i="2"/>
  <c r="CC6" i="2"/>
  <c r="CD6" i="2"/>
  <c r="CE6" i="2"/>
  <c r="CF6" i="2"/>
  <c r="CG6" i="2"/>
  <c r="CH6" i="2"/>
  <c r="CI6" i="2"/>
  <c r="CJ6" i="2"/>
  <c r="CK6" i="2"/>
  <c r="CL6" i="2"/>
  <c r="CM6" i="2"/>
  <c r="CN6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Z7" i="2"/>
  <c r="AA7" i="2"/>
  <c r="AB7" i="2"/>
  <c r="AC7" i="2"/>
  <c r="AD7" i="2"/>
  <c r="AE7" i="2"/>
  <c r="AF7" i="2"/>
  <c r="AG7" i="2"/>
  <c r="AH7" i="2"/>
  <c r="AI7" i="2"/>
  <c r="AJ7" i="2"/>
  <c r="AK7" i="2"/>
  <c r="AL7" i="2"/>
  <c r="AM7" i="2"/>
  <c r="AN7" i="2"/>
  <c r="AO7" i="2"/>
  <c r="AP7" i="2"/>
  <c r="AQ7" i="2"/>
  <c r="AR7" i="2"/>
  <c r="AS7" i="2"/>
  <c r="AT7" i="2"/>
  <c r="AU7" i="2"/>
  <c r="AV7" i="2"/>
  <c r="AW7" i="2"/>
  <c r="AX7" i="2"/>
  <c r="AY7" i="2"/>
  <c r="AZ7" i="2"/>
  <c r="BA7" i="2"/>
  <c r="BB7" i="2"/>
  <c r="BC7" i="2"/>
  <c r="BD7" i="2"/>
  <c r="BE7" i="2"/>
  <c r="BF7" i="2"/>
  <c r="BG7" i="2"/>
  <c r="BH7" i="2"/>
  <c r="BI7" i="2"/>
  <c r="BJ7" i="2"/>
  <c r="BK7" i="2"/>
  <c r="BL7" i="2"/>
  <c r="BM7" i="2"/>
  <c r="BN7" i="2"/>
  <c r="BO7" i="2"/>
  <c r="BP7" i="2"/>
  <c r="BQ7" i="2"/>
  <c r="BR7" i="2"/>
  <c r="BS7" i="2"/>
  <c r="BT7" i="2"/>
  <c r="BU7" i="2"/>
  <c r="BV7" i="2"/>
  <c r="BW7" i="2"/>
  <c r="BX7" i="2"/>
  <c r="BY7" i="2"/>
  <c r="BZ7" i="2"/>
  <c r="CA7" i="2"/>
  <c r="CB7" i="2"/>
  <c r="CC7" i="2"/>
  <c r="CD7" i="2"/>
  <c r="CE7" i="2"/>
  <c r="CF7" i="2"/>
  <c r="CG7" i="2"/>
  <c r="CH7" i="2"/>
  <c r="CI7" i="2"/>
  <c r="CJ7" i="2"/>
  <c r="CK7" i="2"/>
  <c r="CL7" i="2"/>
  <c r="CM7" i="2"/>
  <c r="CN7" i="2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Y8" i="2"/>
  <c r="Z8" i="2"/>
  <c r="AA8" i="2"/>
  <c r="AB8" i="2"/>
  <c r="AC8" i="2"/>
  <c r="AD8" i="2"/>
  <c r="AE8" i="2"/>
  <c r="AF8" i="2"/>
  <c r="AG8" i="2"/>
  <c r="AH8" i="2"/>
  <c r="AI8" i="2"/>
  <c r="AJ8" i="2"/>
  <c r="AK8" i="2"/>
  <c r="AL8" i="2"/>
  <c r="AM8" i="2"/>
  <c r="AN8" i="2"/>
  <c r="AO8" i="2"/>
  <c r="AP8" i="2"/>
  <c r="AQ8" i="2"/>
  <c r="AR8" i="2"/>
  <c r="AS8" i="2"/>
  <c r="AT8" i="2"/>
  <c r="AU8" i="2"/>
  <c r="AV8" i="2"/>
  <c r="AW8" i="2"/>
  <c r="AX8" i="2"/>
  <c r="AY8" i="2"/>
  <c r="AZ8" i="2"/>
  <c r="BA8" i="2"/>
  <c r="BB8" i="2"/>
  <c r="BC8" i="2"/>
  <c r="BD8" i="2"/>
  <c r="BE8" i="2"/>
  <c r="BF8" i="2"/>
  <c r="BG8" i="2"/>
  <c r="BH8" i="2"/>
  <c r="BI8" i="2"/>
  <c r="BJ8" i="2"/>
  <c r="BK8" i="2"/>
  <c r="BL8" i="2"/>
  <c r="BM8" i="2"/>
  <c r="BN8" i="2"/>
  <c r="BO8" i="2"/>
  <c r="BP8" i="2"/>
  <c r="BQ8" i="2"/>
  <c r="BR8" i="2"/>
  <c r="BS8" i="2"/>
  <c r="BT8" i="2"/>
  <c r="BU8" i="2"/>
  <c r="BV8" i="2"/>
  <c r="BW8" i="2"/>
  <c r="BX8" i="2"/>
  <c r="BY8" i="2"/>
  <c r="BZ8" i="2"/>
  <c r="CA8" i="2"/>
  <c r="CB8" i="2"/>
  <c r="CC8" i="2"/>
  <c r="CD8" i="2"/>
  <c r="CE8" i="2"/>
  <c r="CF8" i="2"/>
  <c r="CG8" i="2"/>
  <c r="CH8" i="2"/>
  <c r="CI8" i="2"/>
  <c r="CJ8" i="2"/>
  <c r="CK8" i="2"/>
  <c r="CL8" i="2"/>
  <c r="CM8" i="2"/>
  <c r="CN8" i="2"/>
  <c r="C9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T9" i="2"/>
  <c r="U9" i="2"/>
  <c r="V9" i="2"/>
  <c r="W9" i="2"/>
  <c r="X9" i="2"/>
  <c r="Y9" i="2"/>
  <c r="Z9" i="2"/>
  <c r="AA9" i="2"/>
  <c r="AB9" i="2"/>
  <c r="AC9" i="2"/>
  <c r="AD9" i="2"/>
  <c r="AE9" i="2"/>
  <c r="AF9" i="2"/>
  <c r="AG9" i="2"/>
  <c r="AH9" i="2"/>
  <c r="AI9" i="2"/>
  <c r="AJ9" i="2"/>
  <c r="AK9" i="2"/>
  <c r="AL9" i="2"/>
  <c r="AM9" i="2"/>
  <c r="AN9" i="2"/>
  <c r="AO9" i="2"/>
  <c r="AP9" i="2"/>
  <c r="AQ9" i="2"/>
  <c r="AR9" i="2"/>
  <c r="AS9" i="2"/>
  <c r="AT9" i="2"/>
  <c r="AU9" i="2"/>
  <c r="AV9" i="2"/>
  <c r="AW9" i="2"/>
  <c r="AX9" i="2"/>
  <c r="AY9" i="2"/>
  <c r="AZ9" i="2"/>
  <c r="BA9" i="2"/>
  <c r="BB9" i="2"/>
  <c r="BC9" i="2"/>
  <c r="BD9" i="2"/>
  <c r="BE9" i="2"/>
  <c r="BF9" i="2"/>
  <c r="BG9" i="2"/>
  <c r="BH9" i="2"/>
  <c r="BI9" i="2"/>
  <c r="BJ9" i="2"/>
  <c r="BK9" i="2"/>
  <c r="BL9" i="2"/>
  <c r="BM9" i="2"/>
  <c r="BN9" i="2"/>
  <c r="BO9" i="2"/>
  <c r="BP9" i="2"/>
  <c r="BQ9" i="2"/>
  <c r="BR9" i="2"/>
  <c r="BS9" i="2"/>
  <c r="BT9" i="2"/>
  <c r="BU9" i="2"/>
  <c r="BV9" i="2"/>
  <c r="BW9" i="2"/>
  <c r="BX9" i="2"/>
  <c r="BY9" i="2"/>
  <c r="BZ9" i="2"/>
  <c r="CA9" i="2"/>
  <c r="CB9" i="2"/>
  <c r="CC9" i="2"/>
  <c r="CD9" i="2"/>
  <c r="CE9" i="2"/>
  <c r="CF9" i="2"/>
  <c r="CG9" i="2"/>
  <c r="CH9" i="2"/>
  <c r="CI9" i="2"/>
  <c r="CJ9" i="2"/>
  <c r="CK9" i="2"/>
  <c r="CL9" i="2"/>
  <c r="CM9" i="2"/>
  <c r="CN9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X10" i="2"/>
  <c r="Y10" i="2"/>
  <c r="Z10" i="2"/>
  <c r="AA10" i="2"/>
  <c r="AB10" i="2"/>
  <c r="AC10" i="2"/>
  <c r="AD10" i="2"/>
  <c r="AE10" i="2"/>
  <c r="AF10" i="2"/>
  <c r="AG10" i="2"/>
  <c r="AH10" i="2"/>
  <c r="AI10" i="2"/>
  <c r="AJ10" i="2"/>
  <c r="AK10" i="2"/>
  <c r="AL10" i="2"/>
  <c r="AM10" i="2"/>
  <c r="AN10" i="2"/>
  <c r="AO10" i="2"/>
  <c r="AP10" i="2"/>
  <c r="AQ10" i="2"/>
  <c r="AR10" i="2"/>
  <c r="AS10" i="2"/>
  <c r="AT10" i="2"/>
  <c r="AU10" i="2"/>
  <c r="AV10" i="2"/>
  <c r="AW10" i="2"/>
  <c r="AX10" i="2"/>
  <c r="AY10" i="2"/>
  <c r="AZ10" i="2"/>
  <c r="BA10" i="2"/>
  <c r="BB10" i="2"/>
  <c r="BC10" i="2"/>
  <c r="BD10" i="2"/>
  <c r="BE10" i="2"/>
  <c r="BF10" i="2"/>
  <c r="BG10" i="2"/>
  <c r="BH10" i="2"/>
  <c r="BI10" i="2"/>
  <c r="BJ10" i="2"/>
  <c r="BK10" i="2"/>
  <c r="BL10" i="2"/>
  <c r="BM10" i="2"/>
  <c r="BN10" i="2"/>
  <c r="BO10" i="2"/>
  <c r="BP10" i="2"/>
  <c r="BQ10" i="2"/>
  <c r="BR10" i="2"/>
  <c r="BS10" i="2"/>
  <c r="BT10" i="2"/>
  <c r="BU10" i="2"/>
  <c r="BV10" i="2"/>
  <c r="BW10" i="2"/>
  <c r="BX10" i="2"/>
  <c r="BY10" i="2"/>
  <c r="BZ10" i="2"/>
  <c r="CA10" i="2"/>
  <c r="CB10" i="2"/>
  <c r="CC10" i="2"/>
  <c r="CD10" i="2"/>
  <c r="CE10" i="2"/>
  <c r="CF10" i="2"/>
  <c r="CG10" i="2"/>
  <c r="CH10" i="2"/>
  <c r="CI10" i="2"/>
  <c r="CJ10" i="2"/>
  <c r="CK10" i="2"/>
  <c r="CL10" i="2"/>
  <c r="CM10" i="2"/>
  <c r="CN10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T11" i="2"/>
  <c r="U11" i="2"/>
  <c r="V11" i="2"/>
  <c r="W11" i="2"/>
  <c r="X11" i="2"/>
  <c r="Y11" i="2"/>
  <c r="Z11" i="2"/>
  <c r="AA11" i="2"/>
  <c r="AB11" i="2"/>
  <c r="AC11" i="2"/>
  <c r="AD11" i="2"/>
  <c r="AE11" i="2"/>
  <c r="AF11" i="2"/>
  <c r="AG11" i="2"/>
  <c r="AH11" i="2"/>
  <c r="AI11" i="2"/>
  <c r="AJ11" i="2"/>
  <c r="AK11" i="2"/>
  <c r="AL11" i="2"/>
  <c r="AM11" i="2"/>
  <c r="AN11" i="2"/>
  <c r="AO11" i="2"/>
  <c r="AP11" i="2"/>
  <c r="AQ11" i="2"/>
  <c r="AR11" i="2"/>
  <c r="AS11" i="2"/>
  <c r="AT11" i="2"/>
  <c r="AU11" i="2"/>
  <c r="AV11" i="2"/>
  <c r="AW11" i="2"/>
  <c r="AX11" i="2"/>
  <c r="AY11" i="2"/>
  <c r="AZ11" i="2"/>
  <c r="BA11" i="2"/>
  <c r="BB11" i="2"/>
  <c r="BC11" i="2"/>
  <c r="BD11" i="2"/>
  <c r="BE11" i="2"/>
  <c r="BF11" i="2"/>
  <c r="BG11" i="2"/>
  <c r="BH11" i="2"/>
  <c r="BI11" i="2"/>
  <c r="BJ11" i="2"/>
  <c r="BK11" i="2"/>
  <c r="BL11" i="2"/>
  <c r="BM11" i="2"/>
  <c r="BN11" i="2"/>
  <c r="BO11" i="2"/>
  <c r="BP11" i="2"/>
  <c r="BQ11" i="2"/>
  <c r="BR11" i="2"/>
  <c r="BS11" i="2"/>
  <c r="BT11" i="2"/>
  <c r="BU11" i="2"/>
  <c r="BV11" i="2"/>
  <c r="BW11" i="2"/>
  <c r="BX11" i="2"/>
  <c r="BY11" i="2"/>
  <c r="BZ11" i="2"/>
  <c r="CA11" i="2"/>
  <c r="CB11" i="2"/>
  <c r="CC11" i="2"/>
  <c r="CD11" i="2"/>
  <c r="CE11" i="2"/>
  <c r="CF11" i="2"/>
  <c r="CG11" i="2"/>
  <c r="CH11" i="2"/>
  <c r="CI11" i="2"/>
  <c r="CJ11" i="2"/>
  <c r="CK11" i="2"/>
  <c r="CL11" i="2"/>
  <c r="CM11" i="2"/>
  <c r="CN11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W12" i="2"/>
  <c r="X12" i="2"/>
  <c r="Y12" i="2"/>
  <c r="Z12" i="2"/>
  <c r="AA12" i="2"/>
  <c r="AB12" i="2"/>
  <c r="AC12" i="2"/>
  <c r="AD12" i="2"/>
  <c r="AE12" i="2"/>
  <c r="AF12" i="2"/>
  <c r="AG12" i="2"/>
  <c r="AH12" i="2"/>
  <c r="AI12" i="2"/>
  <c r="AJ12" i="2"/>
  <c r="AK12" i="2"/>
  <c r="AL12" i="2"/>
  <c r="AM12" i="2"/>
  <c r="AN12" i="2"/>
  <c r="AO12" i="2"/>
  <c r="AP12" i="2"/>
  <c r="AQ12" i="2"/>
  <c r="AR12" i="2"/>
  <c r="AS12" i="2"/>
  <c r="AT12" i="2"/>
  <c r="AU12" i="2"/>
  <c r="AV12" i="2"/>
  <c r="AW12" i="2"/>
  <c r="AX12" i="2"/>
  <c r="AY12" i="2"/>
  <c r="AZ12" i="2"/>
  <c r="BA12" i="2"/>
  <c r="BB12" i="2"/>
  <c r="BC12" i="2"/>
  <c r="BD12" i="2"/>
  <c r="BE12" i="2"/>
  <c r="BF12" i="2"/>
  <c r="BG12" i="2"/>
  <c r="BH12" i="2"/>
  <c r="BI12" i="2"/>
  <c r="BJ12" i="2"/>
  <c r="BK12" i="2"/>
  <c r="BL12" i="2"/>
  <c r="BM12" i="2"/>
  <c r="BN12" i="2"/>
  <c r="BO12" i="2"/>
  <c r="BP12" i="2"/>
  <c r="BQ12" i="2"/>
  <c r="BR12" i="2"/>
  <c r="BS12" i="2"/>
  <c r="BT12" i="2"/>
  <c r="BU12" i="2"/>
  <c r="BV12" i="2"/>
  <c r="BW12" i="2"/>
  <c r="BX12" i="2"/>
  <c r="BY12" i="2"/>
  <c r="BZ12" i="2"/>
  <c r="CA12" i="2"/>
  <c r="CB12" i="2"/>
  <c r="CC12" i="2"/>
  <c r="CD12" i="2"/>
  <c r="CE12" i="2"/>
  <c r="CF12" i="2"/>
  <c r="CG12" i="2"/>
  <c r="CH12" i="2"/>
  <c r="CI12" i="2"/>
  <c r="CJ12" i="2"/>
  <c r="CK12" i="2"/>
  <c r="CL12" i="2"/>
  <c r="CM12" i="2"/>
  <c r="CN12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Z13" i="2"/>
  <c r="AA13" i="2"/>
  <c r="AB13" i="2"/>
  <c r="AC13" i="2"/>
  <c r="AD13" i="2"/>
  <c r="AE13" i="2"/>
  <c r="AF13" i="2"/>
  <c r="AG13" i="2"/>
  <c r="AH13" i="2"/>
  <c r="AI13" i="2"/>
  <c r="AJ13" i="2"/>
  <c r="AK13" i="2"/>
  <c r="AL13" i="2"/>
  <c r="AM13" i="2"/>
  <c r="AN13" i="2"/>
  <c r="AO13" i="2"/>
  <c r="AP13" i="2"/>
  <c r="AQ13" i="2"/>
  <c r="AR13" i="2"/>
  <c r="AS13" i="2"/>
  <c r="AT13" i="2"/>
  <c r="AU13" i="2"/>
  <c r="AV13" i="2"/>
  <c r="AW13" i="2"/>
  <c r="AX13" i="2"/>
  <c r="AY13" i="2"/>
  <c r="AZ13" i="2"/>
  <c r="BA13" i="2"/>
  <c r="BB13" i="2"/>
  <c r="BC13" i="2"/>
  <c r="BD13" i="2"/>
  <c r="BE13" i="2"/>
  <c r="BF13" i="2"/>
  <c r="BG13" i="2"/>
  <c r="BH13" i="2"/>
  <c r="BI13" i="2"/>
  <c r="BJ13" i="2"/>
  <c r="BK13" i="2"/>
  <c r="BL13" i="2"/>
  <c r="BM13" i="2"/>
  <c r="BN13" i="2"/>
  <c r="BO13" i="2"/>
  <c r="BP13" i="2"/>
  <c r="BQ13" i="2"/>
  <c r="BR13" i="2"/>
  <c r="BS13" i="2"/>
  <c r="BT13" i="2"/>
  <c r="BU13" i="2"/>
  <c r="BV13" i="2"/>
  <c r="BW13" i="2"/>
  <c r="BX13" i="2"/>
  <c r="BY13" i="2"/>
  <c r="BZ13" i="2"/>
  <c r="CA13" i="2"/>
  <c r="CB13" i="2"/>
  <c r="CC13" i="2"/>
  <c r="CD13" i="2"/>
  <c r="CE13" i="2"/>
  <c r="CF13" i="2"/>
  <c r="CG13" i="2"/>
  <c r="CH13" i="2"/>
  <c r="CI13" i="2"/>
  <c r="CJ13" i="2"/>
  <c r="CK13" i="2"/>
  <c r="CL13" i="2"/>
  <c r="CM13" i="2"/>
  <c r="CN13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Z14" i="2"/>
  <c r="AA14" i="2"/>
  <c r="AB14" i="2"/>
  <c r="AC14" i="2"/>
  <c r="AD14" i="2"/>
  <c r="AE14" i="2"/>
  <c r="AF14" i="2"/>
  <c r="AG14" i="2"/>
  <c r="AH14" i="2"/>
  <c r="AI14" i="2"/>
  <c r="AJ14" i="2"/>
  <c r="AK14" i="2"/>
  <c r="AL14" i="2"/>
  <c r="AM14" i="2"/>
  <c r="AN14" i="2"/>
  <c r="AO14" i="2"/>
  <c r="AP14" i="2"/>
  <c r="AQ14" i="2"/>
  <c r="AR14" i="2"/>
  <c r="AS14" i="2"/>
  <c r="AT14" i="2"/>
  <c r="AU14" i="2"/>
  <c r="AV14" i="2"/>
  <c r="AW14" i="2"/>
  <c r="AX14" i="2"/>
  <c r="AY14" i="2"/>
  <c r="AZ14" i="2"/>
  <c r="BA14" i="2"/>
  <c r="BB14" i="2"/>
  <c r="BC14" i="2"/>
  <c r="BD14" i="2"/>
  <c r="BE14" i="2"/>
  <c r="BF14" i="2"/>
  <c r="BG14" i="2"/>
  <c r="BH14" i="2"/>
  <c r="BI14" i="2"/>
  <c r="BJ14" i="2"/>
  <c r="BK14" i="2"/>
  <c r="BL14" i="2"/>
  <c r="BM14" i="2"/>
  <c r="BN14" i="2"/>
  <c r="BO14" i="2"/>
  <c r="BP14" i="2"/>
  <c r="BQ14" i="2"/>
  <c r="BR14" i="2"/>
  <c r="BS14" i="2"/>
  <c r="BT14" i="2"/>
  <c r="BU14" i="2"/>
  <c r="BV14" i="2"/>
  <c r="BW14" i="2"/>
  <c r="BX14" i="2"/>
  <c r="BY14" i="2"/>
  <c r="BZ14" i="2"/>
  <c r="CA14" i="2"/>
  <c r="CB14" i="2"/>
  <c r="CC14" i="2"/>
  <c r="CD14" i="2"/>
  <c r="CE14" i="2"/>
  <c r="CF14" i="2"/>
  <c r="CG14" i="2"/>
  <c r="CH14" i="2"/>
  <c r="CI14" i="2"/>
  <c r="CJ14" i="2"/>
  <c r="CK14" i="2"/>
  <c r="CL14" i="2"/>
  <c r="CM14" i="2"/>
  <c r="CN14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X15" i="2"/>
  <c r="Y15" i="2"/>
  <c r="Z15" i="2"/>
  <c r="AA15" i="2"/>
  <c r="AB15" i="2"/>
  <c r="AC15" i="2"/>
  <c r="AD15" i="2"/>
  <c r="AE15" i="2"/>
  <c r="AF15" i="2"/>
  <c r="AG15" i="2"/>
  <c r="AH15" i="2"/>
  <c r="AI15" i="2"/>
  <c r="AJ15" i="2"/>
  <c r="AK15" i="2"/>
  <c r="AL15" i="2"/>
  <c r="AM15" i="2"/>
  <c r="AN15" i="2"/>
  <c r="AO15" i="2"/>
  <c r="AP15" i="2"/>
  <c r="AQ15" i="2"/>
  <c r="AR15" i="2"/>
  <c r="AS15" i="2"/>
  <c r="AT15" i="2"/>
  <c r="AU15" i="2"/>
  <c r="AV15" i="2"/>
  <c r="AW15" i="2"/>
  <c r="AX15" i="2"/>
  <c r="AY15" i="2"/>
  <c r="AZ15" i="2"/>
  <c r="BA15" i="2"/>
  <c r="BB15" i="2"/>
  <c r="BC15" i="2"/>
  <c r="BD15" i="2"/>
  <c r="BE15" i="2"/>
  <c r="BF15" i="2"/>
  <c r="BG15" i="2"/>
  <c r="BH15" i="2"/>
  <c r="BI15" i="2"/>
  <c r="BJ15" i="2"/>
  <c r="BK15" i="2"/>
  <c r="BL15" i="2"/>
  <c r="BM15" i="2"/>
  <c r="BN15" i="2"/>
  <c r="BO15" i="2"/>
  <c r="BP15" i="2"/>
  <c r="BQ15" i="2"/>
  <c r="BR15" i="2"/>
  <c r="BS15" i="2"/>
  <c r="BT15" i="2"/>
  <c r="BU15" i="2"/>
  <c r="BV15" i="2"/>
  <c r="BW15" i="2"/>
  <c r="BX15" i="2"/>
  <c r="BY15" i="2"/>
  <c r="BZ15" i="2"/>
  <c r="CA15" i="2"/>
  <c r="CB15" i="2"/>
  <c r="CC15" i="2"/>
  <c r="CD15" i="2"/>
  <c r="CE15" i="2"/>
  <c r="CF15" i="2"/>
  <c r="CG15" i="2"/>
  <c r="CH15" i="2"/>
  <c r="CI15" i="2"/>
  <c r="CJ15" i="2"/>
  <c r="CK15" i="2"/>
  <c r="CL15" i="2"/>
  <c r="CM15" i="2"/>
  <c r="CN15" i="2"/>
  <c r="C16" i="2"/>
  <c r="D16" i="2"/>
  <c r="E16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X16" i="2"/>
  <c r="Y16" i="2"/>
  <c r="Z16" i="2"/>
  <c r="AA16" i="2"/>
  <c r="AB16" i="2"/>
  <c r="AC16" i="2"/>
  <c r="AD16" i="2"/>
  <c r="AE16" i="2"/>
  <c r="AF16" i="2"/>
  <c r="AG16" i="2"/>
  <c r="AH16" i="2"/>
  <c r="AI16" i="2"/>
  <c r="AJ16" i="2"/>
  <c r="AK16" i="2"/>
  <c r="AL16" i="2"/>
  <c r="AM16" i="2"/>
  <c r="AN16" i="2"/>
  <c r="AO16" i="2"/>
  <c r="AP16" i="2"/>
  <c r="AQ16" i="2"/>
  <c r="AR16" i="2"/>
  <c r="AS16" i="2"/>
  <c r="AT16" i="2"/>
  <c r="AU16" i="2"/>
  <c r="AV16" i="2"/>
  <c r="AW16" i="2"/>
  <c r="AX16" i="2"/>
  <c r="AY16" i="2"/>
  <c r="AZ16" i="2"/>
  <c r="BA16" i="2"/>
  <c r="BB16" i="2"/>
  <c r="BC16" i="2"/>
  <c r="BD16" i="2"/>
  <c r="BE16" i="2"/>
  <c r="BF16" i="2"/>
  <c r="BG16" i="2"/>
  <c r="BH16" i="2"/>
  <c r="BI16" i="2"/>
  <c r="BJ16" i="2"/>
  <c r="BK16" i="2"/>
  <c r="BL16" i="2"/>
  <c r="BM16" i="2"/>
  <c r="BN16" i="2"/>
  <c r="BO16" i="2"/>
  <c r="BP16" i="2"/>
  <c r="BQ16" i="2"/>
  <c r="BR16" i="2"/>
  <c r="BS16" i="2"/>
  <c r="BT16" i="2"/>
  <c r="BU16" i="2"/>
  <c r="BV16" i="2"/>
  <c r="BW16" i="2"/>
  <c r="BX16" i="2"/>
  <c r="BY16" i="2"/>
  <c r="BZ16" i="2"/>
  <c r="CA16" i="2"/>
  <c r="CB16" i="2"/>
  <c r="CC16" i="2"/>
  <c r="CD16" i="2"/>
  <c r="CE16" i="2"/>
  <c r="CF16" i="2"/>
  <c r="CG16" i="2"/>
  <c r="CH16" i="2"/>
  <c r="CI16" i="2"/>
  <c r="CJ16" i="2"/>
  <c r="CK16" i="2"/>
  <c r="CL16" i="2"/>
  <c r="CM16" i="2"/>
  <c r="CN16" i="2"/>
  <c r="C17" i="2"/>
  <c r="D17" i="2"/>
  <c r="E17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W17" i="2"/>
  <c r="X17" i="2"/>
  <c r="Y17" i="2"/>
  <c r="Z17" i="2"/>
  <c r="AA17" i="2"/>
  <c r="AB17" i="2"/>
  <c r="AC17" i="2"/>
  <c r="AD17" i="2"/>
  <c r="AE17" i="2"/>
  <c r="AF17" i="2"/>
  <c r="AG17" i="2"/>
  <c r="AH17" i="2"/>
  <c r="AI17" i="2"/>
  <c r="AJ17" i="2"/>
  <c r="AK17" i="2"/>
  <c r="AL17" i="2"/>
  <c r="AM17" i="2"/>
  <c r="AN17" i="2"/>
  <c r="AO17" i="2"/>
  <c r="AP17" i="2"/>
  <c r="AQ17" i="2"/>
  <c r="AR17" i="2"/>
  <c r="AS17" i="2"/>
  <c r="AT17" i="2"/>
  <c r="AU17" i="2"/>
  <c r="AV17" i="2"/>
  <c r="AW17" i="2"/>
  <c r="AX17" i="2"/>
  <c r="AY17" i="2"/>
  <c r="AZ17" i="2"/>
  <c r="BA17" i="2"/>
  <c r="BB17" i="2"/>
  <c r="BC17" i="2"/>
  <c r="BD17" i="2"/>
  <c r="BE17" i="2"/>
  <c r="BF17" i="2"/>
  <c r="BG17" i="2"/>
  <c r="BH17" i="2"/>
  <c r="BI17" i="2"/>
  <c r="BJ17" i="2"/>
  <c r="BK17" i="2"/>
  <c r="BL17" i="2"/>
  <c r="BM17" i="2"/>
  <c r="BN17" i="2"/>
  <c r="BO17" i="2"/>
  <c r="BP17" i="2"/>
  <c r="BQ17" i="2"/>
  <c r="BR17" i="2"/>
  <c r="BS17" i="2"/>
  <c r="BT17" i="2"/>
  <c r="BU17" i="2"/>
  <c r="BV17" i="2"/>
  <c r="BW17" i="2"/>
  <c r="BX17" i="2"/>
  <c r="BY17" i="2"/>
  <c r="BZ17" i="2"/>
  <c r="CA17" i="2"/>
  <c r="CB17" i="2"/>
  <c r="CC17" i="2"/>
  <c r="CD17" i="2"/>
  <c r="CE17" i="2"/>
  <c r="CF17" i="2"/>
  <c r="CG17" i="2"/>
  <c r="CH17" i="2"/>
  <c r="CI17" i="2"/>
  <c r="CJ17" i="2"/>
  <c r="CK17" i="2"/>
  <c r="CL17" i="2"/>
  <c r="CM17" i="2"/>
  <c r="CN17" i="2"/>
  <c r="C18" i="2"/>
  <c r="D18" i="2"/>
  <c r="E18" i="2"/>
  <c r="F18" i="2"/>
  <c r="G18" i="2"/>
  <c r="H18" i="2"/>
  <c r="I18" i="2"/>
  <c r="J18" i="2"/>
  <c r="K18" i="2"/>
  <c r="L18" i="2"/>
  <c r="M18" i="2"/>
  <c r="N18" i="2"/>
  <c r="O18" i="2"/>
  <c r="P18" i="2"/>
  <c r="Q18" i="2"/>
  <c r="R18" i="2"/>
  <c r="S18" i="2"/>
  <c r="T18" i="2"/>
  <c r="U18" i="2"/>
  <c r="V18" i="2"/>
  <c r="W18" i="2"/>
  <c r="X18" i="2"/>
  <c r="Y18" i="2"/>
  <c r="Z18" i="2"/>
  <c r="AA18" i="2"/>
  <c r="AB18" i="2"/>
  <c r="AC18" i="2"/>
  <c r="AD18" i="2"/>
  <c r="AE18" i="2"/>
  <c r="AF18" i="2"/>
  <c r="AG18" i="2"/>
  <c r="AH18" i="2"/>
  <c r="AI18" i="2"/>
  <c r="AJ18" i="2"/>
  <c r="AK18" i="2"/>
  <c r="AL18" i="2"/>
  <c r="AM18" i="2"/>
  <c r="AN18" i="2"/>
  <c r="AO18" i="2"/>
  <c r="AP18" i="2"/>
  <c r="AQ18" i="2"/>
  <c r="AR18" i="2"/>
  <c r="AS18" i="2"/>
  <c r="AT18" i="2"/>
  <c r="AU18" i="2"/>
  <c r="AV18" i="2"/>
  <c r="AW18" i="2"/>
  <c r="AX18" i="2"/>
  <c r="AY18" i="2"/>
  <c r="AZ18" i="2"/>
  <c r="BA18" i="2"/>
  <c r="BB18" i="2"/>
  <c r="BC18" i="2"/>
  <c r="BD18" i="2"/>
  <c r="BE18" i="2"/>
  <c r="BF18" i="2"/>
  <c r="BG18" i="2"/>
  <c r="BH18" i="2"/>
  <c r="BI18" i="2"/>
  <c r="BJ18" i="2"/>
  <c r="BK18" i="2"/>
  <c r="BL18" i="2"/>
  <c r="BM18" i="2"/>
  <c r="BN18" i="2"/>
  <c r="BO18" i="2"/>
  <c r="BP18" i="2"/>
  <c r="BQ18" i="2"/>
  <c r="BR18" i="2"/>
  <c r="BS18" i="2"/>
  <c r="BT18" i="2"/>
  <c r="BU18" i="2"/>
  <c r="BV18" i="2"/>
  <c r="BW18" i="2"/>
  <c r="BX18" i="2"/>
  <c r="BY18" i="2"/>
  <c r="BZ18" i="2"/>
  <c r="CA18" i="2"/>
  <c r="CB18" i="2"/>
  <c r="CC18" i="2"/>
  <c r="CD18" i="2"/>
  <c r="CE18" i="2"/>
  <c r="CF18" i="2"/>
  <c r="CG18" i="2"/>
  <c r="CH18" i="2"/>
  <c r="CI18" i="2"/>
  <c r="CJ18" i="2"/>
  <c r="CK18" i="2"/>
  <c r="CL18" i="2"/>
  <c r="CM18" i="2"/>
  <c r="CN18" i="2"/>
  <c r="C19" i="2"/>
  <c r="D19" i="2"/>
  <c r="E19" i="2"/>
  <c r="F19" i="2"/>
  <c r="G19" i="2"/>
  <c r="H19" i="2"/>
  <c r="I19" i="2"/>
  <c r="J19" i="2"/>
  <c r="K19" i="2"/>
  <c r="L19" i="2"/>
  <c r="M19" i="2"/>
  <c r="N19" i="2"/>
  <c r="O19" i="2"/>
  <c r="P19" i="2"/>
  <c r="Q19" i="2"/>
  <c r="R19" i="2"/>
  <c r="S19" i="2"/>
  <c r="T19" i="2"/>
  <c r="U19" i="2"/>
  <c r="V19" i="2"/>
  <c r="W19" i="2"/>
  <c r="X19" i="2"/>
  <c r="Y19" i="2"/>
  <c r="Z19" i="2"/>
  <c r="AA19" i="2"/>
  <c r="AB19" i="2"/>
  <c r="AC19" i="2"/>
  <c r="AD19" i="2"/>
  <c r="AE19" i="2"/>
  <c r="AF19" i="2"/>
  <c r="AG19" i="2"/>
  <c r="AH19" i="2"/>
  <c r="AI19" i="2"/>
  <c r="AJ19" i="2"/>
  <c r="AK19" i="2"/>
  <c r="AL19" i="2"/>
  <c r="AM19" i="2"/>
  <c r="AN19" i="2"/>
  <c r="AO19" i="2"/>
  <c r="AP19" i="2"/>
  <c r="AQ19" i="2"/>
  <c r="AR19" i="2"/>
  <c r="AS19" i="2"/>
  <c r="AT19" i="2"/>
  <c r="AU19" i="2"/>
  <c r="AV19" i="2"/>
  <c r="AW19" i="2"/>
  <c r="AX19" i="2"/>
  <c r="AY19" i="2"/>
  <c r="AZ19" i="2"/>
  <c r="BA19" i="2"/>
  <c r="BB19" i="2"/>
  <c r="BC19" i="2"/>
  <c r="BD19" i="2"/>
  <c r="BE19" i="2"/>
  <c r="BF19" i="2"/>
  <c r="BG19" i="2"/>
  <c r="BH19" i="2"/>
  <c r="BI19" i="2"/>
  <c r="BJ19" i="2"/>
  <c r="BK19" i="2"/>
  <c r="BL19" i="2"/>
  <c r="BM19" i="2"/>
  <c r="BN19" i="2"/>
  <c r="BO19" i="2"/>
  <c r="BP19" i="2"/>
  <c r="BQ19" i="2"/>
  <c r="BR19" i="2"/>
  <c r="BS19" i="2"/>
  <c r="BT19" i="2"/>
  <c r="BU19" i="2"/>
  <c r="BV19" i="2"/>
  <c r="BW19" i="2"/>
  <c r="BX19" i="2"/>
  <c r="BY19" i="2"/>
  <c r="BZ19" i="2"/>
  <c r="CA19" i="2"/>
  <c r="CB19" i="2"/>
  <c r="CC19" i="2"/>
  <c r="CD19" i="2"/>
  <c r="CE19" i="2"/>
  <c r="CF19" i="2"/>
  <c r="CG19" i="2"/>
  <c r="CH19" i="2"/>
  <c r="CI19" i="2"/>
  <c r="CJ19" i="2"/>
  <c r="CK19" i="2"/>
  <c r="CL19" i="2"/>
  <c r="CM19" i="2"/>
  <c r="CN19" i="2"/>
  <c r="C20" i="2"/>
  <c r="D20" i="2"/>
  <c r="E20" i="2"/>
  <c r="F20" i="2"/>
  <c r="G20" i="2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W20" i="2"/>
  <c r="X20" i="2"/>
  <c r="Y20" i="2"/>
  <c r="Z20" i="2"/>
  <c r="AA20" i="2"/>
  <c r="AB20" i="2"/>
  <c r="AC20" i="2"/>
  <c r="AD20" i="2"/>
  <c r="AE20" i="2"/>
  <c r="AF20" i="2"/>
  <c r="AG20" i="2"/>
  <c r="AH20" i="2"/>
  <c r="AI20" i="2"/>
  <c r="AJ20" i="2"/>
  <c r="AK20" i="2"/>
  <c r="AL20" i="2"/>
  <c r="AM20" i="2"/>
  <c r="AN20" i="2"/>
  <c r="AO20" i="2"/>
  <c r="AP20" i="2"/>
  <c r="AQ20" i="2"/>
  <c r="AR20" i="2"/>
  <c r="AS20" i="2"/>
  <c r="AT20" i="2"/>
  <c r="AU20" i="2"/>
  <c r="AV20" i="2"/>
  <c r="AW20" i="2"/>
  <c r="AX20" i="2"/>
  <c r="AY20" i="2"/>
  <c r="AZ20" i="2"/>
  <c r="BA20" i="2"/>
  <c r="BB20" i="2"/>
  <c r="BC20" i="2"/>
  <c r="BD20" i="2"/>
  <c r="BE20" i="2"/>
  <c r="BF20" i="2"/>
  <c r="BG20" i="2"/>
  <c r="BH20" i="2"/>
  <c r="BI20" i="2"/>
  <c r="BJ20" i="2"/>
  <c r="BK20" i="2"/>
  <c r="BL20" i="2"/>
  <c r="BM20" i="2"/>
  <c r="BN20" i="2"/>
  <c r="BO20" i="2"/>
  <c r="BP20" i="2"/>
  <c r="BQ20" i="2"/>
  <c r="BR20" i="2"/>
  <c r="BS20" i="2"/>
  <c r="BT20" i="2"/>
  <c r="BU20" i="2"/>
  <c r="BV20" i="2"/>
  <c r="BW20" i="2"/>
  <c r="BX20" i="2"/>
  <c r="BY20" i="2"/>
  <c r="BZ20" i="2"/>
  <c r="CA20" i="2"/>
  <c r="CB20" i="2"/>
  <c r="CC20" i="2"/>
  <c r="CD20" i="2"/>
  <c r="CE20" i="2"/>
  <c r="CF20" i="2"/>
  <c r="CG20" i="2"/>
  <c r="CH20" i="2"/>
  <c r="CI20" i="2"/>
  <c r="CJ20" i="2"/>
  <c r="CK20" i="2"/>
  <c r="CL20" i="2"/>
  <c r="CM20" i="2"/>
  <c r="CN20" i="2"/>
  <c r="C21" i="2"/>
  <c r="D21" i="2"/>
  <c r="E21" i="2"/>
  <c r="F21" i="2"/>
  <c r="G21" i="2"/>
  <c r="H21" i="2"/>
  <c r="I21" i="2"/>
  <c r="J21" i="2"/>
  <c r="K21" i="2"/>
  <c r="L21" i="2"/>
  <c r="M21" i="2"/>
  <c r="N21" i="2"/>
  <c r="O21" i="2"/>
  <c r="P21" i="2"/>
  <c r="Q21" i="2"/>
  <c r="R21" i="2"/>
  <c r="S21" i="2"/>
  <c r="T21" i="2"/>
  <c r="U21" i="2"/>
  <c r="V21" i="2"/>
  <c r="W21" i="2"/>
  <c r="X21" i="2"/>
  <c r="Y21" i="2"/>
  <c r="Z21" i="2"/>
  <c r="AA21" i="2"/>
  <c r="AB21" i="2"/>
  <c r="AC21" i="2"/>
  <c r="AD21" i="2"/>
  <c r="AE21" i="2"/>
  <c r="AF21" i="2"/>
  <c r="AG21" i="2"/>
  <c r="AH21" i="2"/>
  <c r="AI21" i="2"/>
  <c r="AJ21" i="2"/>
  <c r="AK21" i="2"/>
  <c r="AL21" i="2"/>
  <c r="AM21" i="2"/>
  <c r="AN21" i="2"/>
  <c r="AO21" i="2"/>
  <c r="AP21" i="2"/>
  <c r="AQ21" i="2"/>
  <c r="AR21" i="2"/>
  <c r="AS21" i="2"/>
  <c r="AT21" i="2"/>
  <c r="AU21" i="2"/>
  <c r="AV21" i="2"/>
  <c r="AW21" i="2"/>
  <c r="AX21" i="2"/>
  <c r="AY21" i="2"/>
  <c r="AZ21" i="2"/>
  <c r="BA21" i="2"/>
  <c r="BB21" i="2"/>
  <c r="BC21" i="2"/>
  <c r="BD21" i="2"/>
  <c r="BE21" i="2"/>
  <c r="BF21" i="2"/>
  <c r="BG21" i="2"/>
  <c r="BH21" i="2"/>
  <c r="BI21" i="2"/>
  <c r="BJ21" i="2"/>
  <c r="BK21" i="2"/>
  <c r="BL21" i="2"/>
  <c r="BM21" i="2"/>
  <c r="BN21" i="2"/>
  <c r="BO21" i="2"/>
  <c r="BP21" i="2"/>
  <c r="BQ21" i="2"/>
  <c r="BR21" i="2"/>
  <c r="BS21" i="2"/>
  <c r="BT21" i="2"/>
  <c r="BU21" i="2"/>
  <c r="BV21" i="2"/>
  <c r="BW21" i="2"/>
  <c r="BX21" i="2"/>
  <c r="BY21" i="2"/>
  <c r="BZ21" i="2"/>
  <c r="CA21" i="2"/>
  <c r="CB21" i="2"/>
  <c r="CC21" i="2"/>
  <c r="CD21" i="2"/>
  <c r="CE21" i="2"/>
  <c r="CF21" i="2"/>
  <c r="CG21" i="2"/>
  <c r="CH21" i="2"/>
  <c r="CI21" i="2"/>
  <c r="CJ21" i="2"/>
  <c r="CK21" i="2"/>
  <c r="CL21" i="2"/>
  <c r="CM21" i="2"/>
  <c r="CN21" i="2"/>
  <c r="C22" i="2"/>
  <c r="D22" i="2"/>
  <c r="E22" i="2"/>
  <c r="F22" i="2"/>
  <c r="G22" i="2"/>
  <c r="H22" i="2"/>
  <c r="I22" i="2"/>
  <c r="J22" i="2"/>
  <c r="K22" i="2"/>
  <c r="L22" i="2"/>
  <c r="M22" i="2"/>
  <c r="N22" i="2"/>
  <c r="O22" i="2"/>
  <c r="P22" i="2"/>
  <c r="Q22" i="2"/>
  <c r="R22" i="2"/>
  <c r="S22" i="2"/>
  <c r="T22" i="2"/>
  <c r="U22" i="2"/>
  <c r="V22" i="2"/>
  <c r="W22" i="2"/>
  <c r="X22" i="2"/>
  <c r="Y22" i="2"/>
  <c r="Z22" i="2"/>
  <c r="AA22" i="2"/>
  <c r="AB22" i="2"/>
  <c r="AC22" i="2"/>
  <c r="AD22" i="2"/>
  <c r="AE22" i="2"/>
  <c r="AF22" i="2"/>
  <c r="AG22" i="2"/>
  <c r="AH22" i="2"/>
  <c r="AI22" i="2"/>
  <c r="AJ22" i="2"/>
  <c r="AK22" i="2"/>
  <c r="AL22" i="2"/>
  <c r="AM22" i="2"/>
  <c r="AN22" i="2"/>
  <c r="AO22" i="2"/>
  <c r="AP22" i="2"/>
  <c r="AQ22" i="2"/>
  <c r="AR22" i="2"/>
  <c r="AS22" i="2"/>
  <c r="AT22" i="2"/>
  <c r="AU22" i="2"/>
  <c r="AV22" i="2"/>
  <c r="AW22" i="2"/>
  <c r="AX22" i="2"/>
  <c r="AY22" i="2"/>
  <c r="AZ22" i="2"/>
  <c r="BA22" i="2"/>
  <c r="BB22" i="2"/>
  <c r="BC22" i="2"/>
  <c r="BD22" i="2"/>
  <c r="BE22" i="2"/>
  <c r="BF22" i="2"/>
  <c r="BG22" i="2"/>
  <c r="BH22" i="2"/>
  <c r="BI22" i="2"/>
  <c r="BJ22" i="2"/>
  <c r="BK22" i="2"/>
  <c r="BL22" i="2"/>
  <c r="BM22" i="2"/>
  <c r="BN22" i="2"/>
  <c r="BO22" i="2"/>
  <c r="BP22" i="2"/>
  <c r="BQ22" i="2"/>
  <c r="BR22" i="2"/>
  <c r="BS22" i="2"/>
  <c r="BT22" i="2"/>
  <c r="BU22" i="2"/>
  <c r="BV22" i="2"/>
  <c r="BW22" i="2"/>
  <c r="BX22" i="2"/>
  <c r="BY22" i="2"/>
  <c r="BZ22" i="2"/>
  <c r="CA22" i="2"/>
  <c r="CB22" i="2"/>
  <c r="CC22" i="2"/>
  <c r="CD22" i="2"/>
  <c r="CE22" i="2"/>
  <c r="CF22" i="2"/>
  <c r="CG22" i="2"/>
  <c r="CH22" i="2"/>
  <c r="CI22" i="2"/>
  <c r="CJ22" i="2"/>
  <c r="CK22" i="2"/>
  <c r="CL22" i="2"/>
  <c r="CM22" i="2"/>
  <c r="CN22" i="2"/>
  <c r="C23" i="2"/>
  <c r="D23" i="2"/>
  <c r="E23" i="2"/>
  <c r="F23" i="2"/>
  <c r="G23" i="2"/>
  <c r="H23" i="2"/>
  <c r="I23" i="2"/>
  <c r="J23" i="2"/>
  <c r="K23" i="2"/>
  <c r="L23" i="2"/>
  <c r="M23" i="2"/>
  <c r="N23" i="2"/>
  <c r="O23" i="2"/>
  <c r="P23" i="2"/>
  <c r="Q23" i="2"/>
  <c r="R23" i="2"/>
  <c r="S23" i="2"/>
  <c r="T23" i="2"/>
  <c r="U23" i="2"/>
  <c r="V23" i="2"/>
  <c r="W23" i="2"/>
  <c r="X23" i="2"/>
  <c r="Y23" i="2"/>
  <c r="Z23" i="2"/>
  <c r="AA23" i="2"/>
  <c r="AB23" i="2"/>
  <c r="AC23" i="2"/>
  <c r="AD23" i="2"/>
  <c r="AE23" i="2"/>
  <c r="AF23" i="2"/>
  <c r="AG23" i="2"/>
  <c r="AH23" i="2"/>
  <c r="AI23" i="2"/>
  <c r="AJ23" i="2"/>
  <c r="AK23" i="2"/>
  <c r="AL23" i="2"/>
  <c r="AM23" i="2"/>
  <c r="AN23" i="2"/>
  <c r="AO23" i="2"/>
  <c r="AP23" i="2"/>
  <c r="AQ23" i="2"/>
  <c r="AR23" i="2"/>
  <c r="AS23" i="2"/>
  <c r="AT23" i="2"/>
  <c r="AU23" i="2"/>
  <c r="AV23" i="2"/>
  <c r="AW23" i="2"/>
  <c r="AX23" i="2"/>
  <c r="AY23" i="2"/>
  <c r="AZ23" i="2"/>
  <c r="BA23" i="2"/>
  <c r="BB23" i="2"/>
  <c r="BC23" i="2"/>
  <c r="BD23" i="2"/>
  <c r="BE23" i="2"/>
  <c r="BF23" i="2"/>
  <c r="BG23" i="2"/>
  <c r="BH23" i="2"/>
  <c r="BI23" i="2"/>
  <c r="BJ23" i="2"/>
  <c r="BK23" i="2"/>
  <c r="BL23" i="2"/>
  <c r="BM23" i="2"/>
  <c r="BN23" i="2"/>
  <c r="BO23" i="2"/>
  <c r="BP23" i="2"/>
  <c r="BQ23" i="2"/>
  <c r="BR23" i="2"/>
  <c r="BS23" i="2"/>
  <c r="BT23" i="2"/>
  <c r="BU23" i="2"/>
  <c r="BV23" i="2"/>
  <c r="BW23" i="2"/>
  <c r="BX23" i="2"/>
  <c r="BY23" i="2"/>
  <c r="BZ23" i="2"/>
  <c r="CA23" i="2"/>
  <c r="CB23" i="2"/>
  <c r="CC23" i="2"/>
  <c r="CD23" i="2"/>
  <c r="CE23" i="2"/>
  <c r="CF23" i="2"/>
  <c r="CG23" i="2"/>
  <c r="CH23" i="2"/>
  <c r="CI23" i="2"/>
  <c r="CJ23" i="2"/>
  <c r="CK23" i="2"/>
  <c r="CL23" i="2"/>
  <c r="CM23" i="2"/>
  <c r="CN23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X24" i="2"/>
  <c r="Y24" i="2"/>
  <c r="Z24" i="2"/>
  <c r="AA24" i="2"/>
  <c r="AB24" i="2"/>
  <c r="AC24" i="2"/>
  <c r="AD24" i="2"/>
  <c r="AE24" i="2"/>
  <c r="AF24" i="2"/>
  <c r="AG24" i="2"/>
  <c r="AH24" i="2"/>
  <c r="AI24" i="2"/>
  <c r="AJ24" i="2"/>
  <c r="AK24" i="2"/>
  <c r="AL24" i="2"/>
  <c r="AM24" i="2"/>
  <c r="AN24" i="2"/>
  <c r="AO24" i="2"/>
  <c r="AP24" i="2"/>
  <c r="AQ24" i="2"/>
  <c r="AR24" i="2"/>
  <c r="AS24" i="2"/>
  <c r="AT24" i="2"/>
  <c r="AU24" i="2"/>
  <c r="AV24" i="2"/>
  <c r="AW24" i="2"/>
  <c r="AX24" i="2"/>
  <c r="AY24" i="2"/>
  <c r="AZ24" i="2"/>
  <c r="BA24" i="2"/>
  <c r="BB24" i="2"/>
  <c r="BC24" i="2"/>
  <c r="BD24" i="2"/>
  <c r="BE24" i="2"/>
  <c r="BF24" i="2"/>
  <c r="BG24" i="2"/>
  <c r="BH24" i="2"/>
  <c r="BI24" i="2"/>
  <c r="BJ24" i="2"/>
  <c r="BK24" i="2"/>
  <c r="BL24" i="2"/>
  <c r="BM24" i="2"/>
  <c r="BN24" i="2"/>
  <c r="BO24" i="2"/>
  <c r="BP24" i="2"/>
  <c r="BQ24" i="2"/>
  <c r="BR24" i="2"/>
  <c r="BS24" i="2"/>
  <c r="BT24" i="2"/>
  <c r="BU24" i="2"/>
  <c r="BV24" i="2"/>
  <c r="BW24" i="2"/>
  <c r="BX24" i="2"/>
  <c r="BY24" i="2"/>
  <c r="BZ24" i="2"/>
  <c r="CA24" i="2"/>
  <c r="CB24" i="2"/>
  <c r="CC24" i="2"/>
  <c r="CD24" i="2"/>
  <c r="CE24" i="2"/>
  <c r="CF24" i="2"/>
  <c r="CG24" i="2"/>
  <c r="CH24" i="2"/>
  <c r="CI24" i="2"/>
  <c r="CJ24" i="2"/>
  <c r="CK24" i="2"/>
  <c r="CL24" i="2"/>
  <c r="CM24" i="2"/>
  <c r="CN24" i="2"/>
  <c r="C25" i="2"/>
  <c r="D25" i="2"/>
  <c r="E25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W25" i="2"/>
  <c r="X25" i="2"/>
  <c r="Y25" i="2"/>
  <c r="Z25" i="2"/>
  <c r="AA25" i="2"/>
  <c r="AB25" i="2"/>
  <c r="AC25" i="2"/>
  <c r="AD25" i="2"/>
  <c r="AE25" i="2"/>
  <c r="AF25" i="2"/>
  <c r="AG25" i="2"/>
  <c r="AH25" i="2"/>
  <c r="AI25" i="2"/>
  <c r="AJ25" i="2"/>
  <c r="AK25" i="2"/>
  <c r="AL25" i="2"/>
  <c r="AM25" i="2"/>
  <c r="AN25" i="2"/>
  <c r="AO25" i="2"/>
  <c r="AP25" i="2"/>
  <c r="AQ25" i="2"/>
  <c r="AR25" i="2"/>
  <c r="AS25" i="2"/>
  <c r="AT25" i="2"/>
  <c r="AU25" i="2"/>
  <c r="AV25" i="2"/>
  <c r="AW25" i="2"/>
  <c r="AX25" i="2"/>
  <c r="AY25" i="2"/>
  <c r="AZ25" i="2"/>
  <c r="BA25" i="2"/>
  <c r="BB25" i="2"/>
  <c r="BC25" i="2"/>
  <c r="BD25" i="2"/>
  <c r="BE25" i="2"/>
  <c r="BF25" i="2"/>
  <c r="BG25" i="2"/>
  <c r="BH25" i="2"/>
  <c r="BI25" i="2"/>
  <c r="BJ25" i="2"/>
  <c r="BK25" i="2"/>
  <c r="BL25" i="2"/>
  <c r="BM25" i="2"/>
  <c r="BN25" i="2"/>
  <c r="BO25" i="2"/>
  <c r="BP25" i="2"/>
  <c r="BQ25" i="2"/>
  <c r="BR25" i="2"/>
  <c r="BS25" i="2"/>
  <c r="BT25" i="2"/>
  <c r="BU25" i="2"/>
  <c r="BV25" i="2"/>
  <c r="BW25" i="2"/>
  <c r="BX25" i="2"/>
  <c r="BY25" i="2"/>
  <c r="BZ25" i="2"/>
  <c r="CA25" i="2"/>
  <c r="CB25" i="2"/>
  <c r="CC25" i="2"/>
  <c r="CD25" i="2"/>
  <c r="CE25" i="2"/>
  <c r="CF25" i="2"/>
  <c r="CG25" i="2"/>
  <c r="CH25" i="2"/>
  <c r="CI25" i="2"/>
  <c r="CJ25" i="2"/>
  <c r="CK25" i="2"/>
  <c r="CL25" i="2"/>
  <c r="CM25" i="2"/>
  <c r="CN25" i="2"/>
  <c r="C26" i="2"/>
  <c r="D26" i="2"/>
  <c r="E26" i="2"/>
  <c r="F26" i="2"/>
  <c r="G26" i="2"/>
  <c r="H26" i="2"/>
  <c r="I26" i="2"/>
  <c r="J26" i="2"/>
  <c r="K26" i="2"/>
  <c r="L26" i="2"/>
  <c r="M26" i="2"/>
  <c r="N26" i="2"/>
  <c r="O26" i="2"/>
  <c r="P26" i="2"/>
  <c r="Q26" i="2"/>
  <c r="R26" i="2"/>
  <c r="S26" i="2"/>
  <c r="T26" i="2"/>
  <c r="U26" i="2"/>
  <c r="V26" i="2"/>
  <c r="W26" i="2"/>
  <c r="X26" i="2"/>
  <c r="Y26" i="2"/>
  <c r="Z26" i="2"/>
  <c r="AA26" i="2"/>
  <c r="AB26" i="2"/>
  <c r="AC26" i="2"/>
  <c r="AD26" i="2"/>
  <c r="AE26" i="2"/>
  <c r="AF26" i="2"/>
  <c r="AG26" i="2"/>
  <c r="AH26" i="2"/>
  <c r="AI26" i="2"/>
  <c r="AJ26" i="2"/>
  <c r="AK26" i="2"/>
  <c r="AL26" i="2"/>
  <c r="AM26" i="2"/>
  <c r="AN26" i="2"/>
  <c r="AO26" i="2"/>
  <c r="AP26" i="2"/>
  <c r="AQ26" i="2"/>
  <c r="AR26" i="2"/>
  <c r="AS26" i="2"/>
  <c r="AT26" i="2"/>
  <c r="AU26" i="2"/>
  <c r="AV26" i="2"/>
  <c r="AW26" i="2"/>
  <c r="AX26" i="2"/>
  <c r="AY26" i="2"/>
  <c r="AZ26" i="2"/>
  <c r="BA26" i="2"/>
  <c r="BB26" i="2"/>
  <c r="BC26" i="2"/>
  <c r="BD26" i="2"/>
  <c r="BE26" i="2"/>
  <c r="BF26" i="2"/>
  <c r="BG26" i="2"/>
  <c r="BH26" i="2"/>
  <c r="BI26" i="2"/>
  <c r="BJ26" i="2"/>
  <c r="BK26" i="2"/>
  <c r="BL26" i="2"/>
  <c r="BM26" i="2"/>
  <c r="BN26" i="2"/>
  <c r="BO26" i="2"/>
  <c r="BP26" i="2"/>
  <c r="BQ26" i="2"/>
  <c r="BR26" i="2"/>
  <c r="BS26" i="2"/>
  <c r="BT26" i="2"/>
  <c r="BU26" i="2"/>
  <c r="BV26" i="2"/>
  <c r="BW26" i="2"/>
  <c r="BX26" i="2"/>
  <c r="BY26" i="2"/>
  <c r="BZ26" i="2"/>
  <c r="CA26" i="2"/>
  <c r="CB26" i="2"/>
  <c r="CC26" i="2"/>
  <c r="CD26" i="2"/>
  <c r="CE26" i="2"/>
  <c r="CF26" i="2"/>
  <c r="CG26" i="2"/>
  <c r="CH26" i="2"/>
  <c r="CI26" i="2"/>
  <c r="CJ26" i="2"/>
  <c r="CK26" i="2"/>
  <c r="CL26" i="2"/>
  <c r="CM26" i="2"/>
  <c r="CN26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W27" i="2"/>
  <c r="X27" i="2"/>
  <c r="Y27" i="2"/>
  <c r="Z27" i="2"/>
  <c r="AA27" i="2"/>
  <c r="AB27" i="2"/>
  <c r="AC27" i="2"/>
  <c r="AD27" i="2"/>
  <c r="AE27" i="2"/>
  <c r="AF27" i="2"/>
  <c r="AG27" i="2"/>
  <c r="AH27" i="2"/>
  <c r="AI27" i="2"/>
  <c r="AJ27" i="2"/>
  <c r="AK27" i="2"/>
  <c r="AL27" i="2"/>
  <c r="AM27" i="2"/>
  <c r="AN27" i="2"/>
  <c r="AO27" i="2"/>
  <c r="AP27" i="2"/>
  <c r="AQ27" i="2"/>
  <c r="AR27" i="2"/>
  <c r="AS27" i="2"/>
  <c r="AT27" i="2"/>
  <c r="AU27" i="2"/>
  <c r="AV27" i="2"/>
  <c r="AW27" i="2"/>
  <c r="AX27" i="2"/>
  <c r="AY27" i="2"/>
  <c r="AZ27" i="2"/>
  <c r="BA27" i="2"/>
  <c r="BB27" i="2"/>
  <c r="BC27" i="2"/>
  <c r="BD27" i="2"/>
  <c r="BE27" i="2"/>
  <c r="BF27" i="2"/>
  <c r="BG27" i="2"/>
  <c r="BH27" i="2"/>
  <c r="BI27" i="2"/>
  <c r="BJ27" i="2"/>
  <c r="BK27" i="2"/>
  <c r="BL27" i="2"/>
  <c r="BM27" i="2"/>
  <c r="BN27" i="2"/>
  <c r="BO27" i="2"/>
  <c r="BP27" i="2"/>
  <c r="BQ27" i="2"/>
  <c r="BR27" i="2"/>
  <c r="BS27" i="2"/>
  <c r="BT27" i="2"/>
  <c r="BU27" i="2"/>
  <c r="BV27" i="2"/>
  <c r="BW27" i="2"/>
  <c r="BX27" i="2"/>
  <c r="BY27" i="2"/>
  <c r="BZ27" i="2"/>
  <c r="CA27" i="2"/>
  <c r="CB27" i="2"/>
  <c r="CC27" i="2"/>
  <c r="CD27" i="2"/>
  <c r="CE27" i="2"/>
  <c r="CF27" i="2"/>
  <c r="CG27" i="2"/>
  <c r="CH27" i="2"/>
  <c r="CI27" i="2"/>
  <c r="CJ27" i="2"/>
  <c r="CK27" i="2"/>
  <c r="CL27" i="2"/>
  <c r="CM27" i="2"/>
  <c r="CN27" i="2"/>
  <c r="C28" i="2"/>
  <c r="D28" i="2"/>
  <c r="E28" i="2"/>
  <c r="F28" i="2"/>
  <c r="G28" i="2"/>
  <c r="H28" i="2"/>
  <c r="I28" i="2"/>
  <c r="J28" i="2"/>
  <c r="K28" i="2"/>
  <c r="L28" i="2"/>
  <c r="M28" i="2"/>
  <c r="N28" i="2"/>
  <c r="O28" i="2"/>
  <c r="P28" i="2"/>
  <c r="Q28" i="2"/>
  <c r="R28" i="2"/>
  <c r="S28" i="2"/>
  <c r="T28" i="2"/>
  <c r="U28" i="2"/>
  <c r="V28" i="2"/>
  <c r="W28" i="2"/>
  <c r="X28" i="2"/>
  <c r="Y28" i="2"/>
  <c r="Z28" i="2"/>
  <c r="AA28" i="2"/>
  <c r="AB28" i="2"/>
  <c r="AC28" i="2"/>
  <c r="AD28" i="2"/>
  <c r="AE28" i="2"/>
  <c r="AF28" i="2"/>
  <c r="AG28" i="2"/>
  <c r="AH28" i="2"/>
  <c r="AI28" i="2"/>
  <c r="AJ28" i="2"/>
  <c r="AK28" i="2"/>
  <c r="AL28" i="2"/>
  <c r="AM28" i="2"/>
  <c r="AN28" i="2"/>
  <c r="AO28" i="2"/>
  <c r="AP28" i="2"/>
  <c r="AQ28" i="2"/>
  <c r="AR28" i="2"/>
  <c r="AS28" i="2"/>
  <c r="AT28" i="2"/>
  <c r="AU28" i="2"/>
  <c r="AV28" i="2"/>
  <c r="AW28" i="2"/>
  <c r="AX28" i="2"/>
  <c r="AY28" i="2"/>
  <c r="AZ28" i="2"/>
  <c r="BA28" i="2"/>
  <c r="BB28" i="2"/>
  <c r="BC28" i="2"/>
  <c r="BD28" i="2"/>
  <c r="BE28" i="2"/>
  <c r="BF28" i="2"/>
  <c r="BG28" i="2"/>
  <c r="BH28" i="2"/>
  <c r="BI28" i="2"/>
  <c r="BJ28" i="2"/>
  <c r="BK28" i="2"/>
  <c r="BL28" i="2"/>
  <c r="BM28" i="2"/>
  <c r="BN28" i="2"/>
  <c r="BO28" i="2"/>
  <c r="BP28" i="2"/>
  <c r="BQ28" i="2"/>
  <c r="BR28" i="2"/>
  <c r="BS28" i="2"/>
  <c r="BT28" i="2"/>
  <c r="BU28" i="2"/>
  <c r="BV28" i="2"/>
  <c r="BW28" i="2"/>
  <c r="BX28" i="2"/>
  <c r="BY28" i="2"/>
  <c r="BZ28" i="2"/>
  <c r="CA28" i="2"/>
  <c r="CB28" i="2"/>
  <c r="CC28" i="2"/>
  <c r="CD28" i="2"/>
  <c r="CE28" i="2"/>
  <c r="CF28" i="2"/>
  <c r="CG28" i="2"/>
  <c r="CH28" i="2"/>
  <c r="CI28" i="2"/>
  <c r="CJ28" i="2"/>
  <c r="CK28" i="2"/>
  <c r="CL28" i="2"/>
  <c r="CM28" i="2"/>
  <c r="CN28" i="2"/>
  <c r="C29" i="2"/>
  <c r="D29" i="2"/>
  <c r="E29" i="2"/>
  <c r="F29" i="2"/>
  <c r="G29" i="2"/>
  <c r="H29" i="2"/>
  <c r="I29" i="2"/>
  <c r="J29" i="2"/>
  <c r="K29" i="2"/>
  <c r="L29" i="2"/>
  <c r="M29" i="2"/>
  <c r="N29" i="2"/>
  <c r="O29" i="2"/>
  <c r="P29" i="2"/>
  <c r="Q29" i="2"/>
  <c r="R29" i="2"/>
  <c r="S29" i="2"/>
  <c r="T29" i="2"/>
  <c r="U29" i="2"/>
  <c r="V29" i="2"/>
  <c r="W29" i="2"/>
  <c r="X29" i="2"/>
  <c r="Y29" i="2"/>
  <c r="Z29" i="2"/>
  <c r="AA29" i="2"/>
  <c r="AB29" i="2"/>
  <c r="AC29" i="2"/>
  <c r="AD29" i="2"/>
  <c r="AE29" i="2"/>
  <c r="AF29" i="2"/>
  <c r="AG29" i="2"/>
  <c r="AH29" i="2"/>
  <c r="AI29" i="2"/>
  <c r="AJ29" i="2"/>
  <c r="AK29" i="2"/>
  <c r="AL29" i="2"/>
  <c r="AM29" i="2"/>
  <c r="AN29" i="2"/>
  <c r="AO29" i="2"/>
  <c r="AP29" i="2"/>
  <c r="AQ29" i="2"/>
  <c r="AR29" i="2"/>
  <c r="AS29" i="2"/>
  <c r="AT29" i="2"/>
  <c r="AU29" i="2"/>
  <c r="AV29" i="2"/>
  <c r="AW29" i="2"/>
  <c r="AX29" i="2"/>
  <c r="AY29" i="2"/>
  <c r="AZ29" i="2"/>
  <c r="BA29" i="2"/>
  <c r="BB29" i="2"/>
  <c r="BC29" i="2"/>
  <c r="BD29" i="2"/>
  <c r="BE29" i="2"/>
  <c r="BF29" i="2"/>
  <c r="BG29" i="2"/>
  <c r="BH29" i="2"/>
  <c r="BI29" i="2"/>
  <c r="BJ29" i="2"/>
  <c r="BK29" i="2"/>
  <c r="BL29" i="2"/>
  <c r="BM29" i="2"/>
  <c r="BN29" i="2"/>
  <c r="BO29" i="2"/>
  <c r="BP29" i="2"/>
  <c r="BQ29" i="2"/>
  <c r="BR29" i="2"/>
  <c r="BS29" i="2"/>
  <c r="BT29" i="2"/>
  <c r="BU29" i="2"/>
  <c r="BV29" i="2"/>
  <c r="BW29" i="2"/>
  <c r="BX29" i="2"/>
  <c r="BY29" i="2"/>
  <c r="BZ29" i="2"/>
  <c r="CA29" i="2"/>
  <c r="CB29" i="2"/>
  <c r="CC29" i="2"/>
  <c r="CD29" i="2"/>
  <c r="CE29" i="2"/>
  <c r="CF29" i="2"/>
  <c r="CG29" i="2"/>
  <c r="CH29" i="2"/>
  <c r="CI29" i="2"/>
  <c r="CJ29" i="2"/>
  <c r="CK29" i="2"/>
  <c r="CL29" i="2"/>
  <c r="CM29" i="2"/>
  <c r="CN29" i="2"/>
  <c r="C30" i="2"/>
  <c r="D30" i="2"/>
  <c r="E30" i="2"/>
  <c r="F30" i="2"/>
  <c r="G30" i="2"/>
  <c r="H30" i="2"/>
  <c r="I30" i="2"/>
  <c r="J30" i="2"/>
  <c r="K30" i="2"/>
  <c r="L30" i="2"/>
  <c r="M30" i="2"/>
  <c r="N30" i="2"/>
  <c r="O30" i="2"/>
  <c r="P30" i="2"/>
  <c r="Q30" i="2"/>
  <c r="R30" i="2"/>
  <c r="S30" i="2"/>
  <c r="T30" i="2"/>
  <c r="U30" i="2"/>
  <c r="V30" i="2"/>
  <c r="W30" i="2"/>
  <c r="X30" i="2"/>
  <c r="Y30" i="2"/>
  <c r="Z30" i="2"/>
  <c r="AA30" i="2"/>
  <c r="AB30" i="2"/>
  <c r="AC30" i="2"/>
  <c r="AD30" i="2"/>
  <c r="AE30" i="2"/>
  <c r="AF30" i="2"/>
  <c r="AG30" i="2"/>
  <c r="AH30" i="2"/>
  <c r="AI30" i="2"/>
  <c r="AJ30" i="2"/>
  <c r="AK30" i="2"/>
  <c r="AL30" i="2"/>
  <c r="AM30" i="2"/>
  <c r="AN30" i="2"/>
  <c r="AO30" i="2"/>
  <c r="AP30" i="2"/>
  <c r="AQ30" i="2"/>
  <c r="AR30" i="2"/>
  <c r="AS30" i="2"/>
  <c r="AT30" i="2"/>
  <c r="AU30" i="2"/>
  <c r="AV30" i="2"/>
  <c r="AW30" i="2"/>
  <c r="AX30" i="2"/>
  <c r="AY30" i="2"/>
  <c r="AZ30" i="2"/>
  <c r="BA30" i="2"/>
  <c r="BB30" i="2"/>
  <c r="BC30" i="2"/>
  <c r="BD30" i="2"/>
  <c r="BE30" i="2"/>
  <c r="BF30" i="2"/>
  <c r="BG30" i="2"/>
  <c r="BH30" i="2"/>
  <c r="BI30" i="2"/>
  <c r="BJ30" i="2"/>
  <c r="BK30" i="2"/>
  <c r="BL30" i="2"/>
  <c r="BM30" i="2"/>
  <c r="BN30" i="2"/>
  <c r="BO30" i="2"/>
  <c r="BP30" i="2"/>
  <c r="BQ30" i="2"/>
  <c r="BR30" i="2"/>
  <c r="BS30" i="2"/>
  <c r="BT30" i="2"/>
  <c r="BU30" i="2"/>
  <c r="BV30" i="2"/>
  <c r="BW30" i="2"/>
  <c r="BX30" i="2"/>
  <c r="BY30" i="2"/>
  <c r="BZ30" i="2"/>
  <c r="CA30" i="2"/>
  <c r="CB30" i="2"/>
  <c r="CC30" i="2"/>
  <c r="CD30" i="2"/>
  <c r="CE30" i="2"/>
  <c r="CF30" i="2"/>
  <c r="CG30" i="2"/>
  <c r="CH30" i="2"/>
  <c r="CI30" i="2"/>
  <c r="CJ30" i="2"/>
  <c r="CK30" i="2"/>
  <c r="CL30" i="2"/>
  <c r="CM30" i="2"/>
  <c r="CN30" i="2"/>
  <c r="C31" i="2"/>
  <c r="D31" i="2"/>
  <c r="E31" i="2"/>
  <c r="F31" i="2"/>
  <c r="G31" i="2"/>
  <c r="H31" i="2"/>
  <c r="I31" i="2"/>
  <c r="J31" i="2"/>
  <c r="K31" i="2"/>
  <c r="L31" i="2"/>
  <c r="M31" i="2"/>
  <c r="N31" i="2"/>
  <c r="O31" i="2"/>
  <c r="P31" i="2"/>
  <c r="Q31" i="2"/>
  <c r="R31" i="2"/>
  <c r="S31" i="2"/>
  <c r="T31" i="2"/>
  <c r="U31" i="2"/>
  <c r="V31" i="2"/>
  <c r="W31" i="2"/>
  <c r="X31" i="2"/>
  <c r="Y31" i="2"/>
  <c r="Z31" i="2"/>
  <c r="AA31" i="2"/>
  <c r="AB31" i="2"/>
  <c r="AC31" i="2"/>
  <c r="AD31" i="2"/>
  <c r="AE31" i="2"/>
  <c r="AF31" i="2"/>
  <c r="AG31" i="2"/>
  <c r="AH31" i="2"/>
  <c r="AI31" i="2"/>
  <c r="AJ31" i="2"/>
  <c r="AK31" i="2"/>
  <c r="AL31" i="2"/>
  <c r="AM31" i="2"/>
  <c r="AN31" i="2"/>
  <c r="AO31" i="2"/>
  <c r="AP31" i="2"/>
  <c r="AQ31" i="2"/>
  <c r="AR31" i="2"/>
  <c r="AS31" i="2"/>
  <c r="AT31" i="2"/>
  <c r="AU31" i="2"/>
  <c r="AV31" i="2"/>
  <c r="AW31" i="2"/>
  <c r="AX31" i="2"/>
  <c r="AY31" i="2"/>
  <c r="AZ31" i="2"/>
  <c r="BA31" i="2"/>
  <c r="BB31" i="2"/>
  <c r="BC31" i="2"/>
  <c r="BD31" i="2"/>
  <c r="BE31" i="2"/>
  <c r="BF31" i="2"/>
  <c r="BG31" i="2"/>
  <c r="BH31" i="2"/>
  <c r="BI31" i="2"/>
  <c r="BJ31" i="2"/>
  <c r="BK31" i="2"/>
  <c r="BL31" i="2"/>
  <c r="BM31" i="2"/>
  <c r="BN31" i="2"/>
  <c r="BO31" i="2"/>
  <c r="BP31" i="2"/>
  <c r="BQ31" i="2"/>
  <c r="BR31" i="2"/>
  <c r="BS31" i="2"/>
  <c r="BT31" i="2"/>
  <c r="BU31" i="2"/>
  <c r="BV31" i="2"/>
  <c r="BW31" i="2"/>
  <c r="BX31" i="2"/>
  <c r="BY31" i="2"/>
  <c r="BZ31" i="2"/>
  <c r="CA31" i="2"/>
  <c r="CB31" i="2"/>
  <c r="CC31" i="2"/>
  <c r="CD31" i="2"/>
  <c r="CE31" i="2"/>
  <c r="CF31" i="2"/>
  <c r="CG31" i="2"/>
  <c r="CH31" i="2"/>
  <c r="CI31" i="2"/>
  <c r="CJ31" i="2"/>
  <c r="CK31" i="2"/>
  <c r="CL31" i="2"/>
  <c r="CM31" i="2"/>
  <c r="CN31" i="2"/>
  <c r="C32" i="2"/>
  <c r="D32" i="2"/>
  <c r="E32" i="2"/>
  <c r="F32" i="2"/>
  <c r="G32" i="2"/>
  <c r="H32" i="2"/>
  <c r="I32" i="2"/>
  <c r="J32" i="2"/>
  <c r="K32" i="2"/>
  <c r="L32" i="2"/>
  <c r="M32" i="2"/>
  <c r="N32" i="2"/>
  <c r="O32" i="2"/>
  <c r="P32" i="2"/>
  <c r="Q32" i="2"/>
  <c r="R32" i="2"/>
  <c r="S32" i="2"/>
  <c r="T32" i="2"/>
  <c r="U32" i="2"/>
  <c r="V32" i="2"/>
  <c r="W32" i="2"/>
  <c r="X32" i="2"/>
  <c r="Y32" i="2"/>
  <c r="Z32" i="2"/>
  <c r="AA32" i="2"/>
  <c r="AB32" i="2"/>
  <c r="AC32" i="2"/>
  <c r="AD32" i="2"/>
  <c r="AE32" i="2"/>
  <c r="AF32" i="2"/>
  <c r="AG32" i="2"/>
  <c r="AH32" i="2"/>
  <c r="AI32" i="2"/>
  <c r="AJ32" i="2"/>
  <c r="AK32" i="2"/>
  <c r="AL32" i="2"/>
  <c r="AM32" i="2"/>
  <c r="AN32" i="2"/>
  <c r="AO32" i="2"/>
  <c r="AP32" i="2"/>
  <c r="AQ32" i="2"/>
  <c r="AR32" i="2"/>
  <c r="AS32" i="2"/>
  <c r="AT32" i="2"/>
  <c r="AU32" i="2"/>
  <c r="AV32" i="2"/>
  <c r="AW32" i="2"/>
  <c r="AX32" i="2"/>
  <c r="AY32" i="2"/>
  <c r="AZ32" i="2"/>
  <c r="BA32" i="2"/>
  <c r="BB32" i="2"/>
  <c r="BC32" i="2"/>
  <c r="BD32" i="2"/>
  <c r="BE32" i="2"/>
  <c r="BF32" i="2"/>
  <c r="BG32" i="2"/>
  <c r="BH32" i="2"/>
  <c r="BI32" i="2"/>
  <c r="BJ32" i="2"/>
  <c r="BK32" i="2"/>
  <c r="BL32" i="2"/>
  <c r="BM32" i="2"/>
  <c r="BN32" i="2"/>
  <c r="BO32" i="2"/>
  <c r="BP32" i="2"/>
  <c r="BQ32" i="2"/>
  <c r="BR32" i="2"/>
  <c r="BS32" i="2"/>
  <c r="BT32" i="2"/>
  <c r="BU32" i="2"/>
  <c r="BV32" i="2"/>
  <c r="BW32" i="2"/>
  <c r="BX32" i="2"/>
  <c r="BY32" i="2"/>
  <c r="BZ32" i="2"/>
  <c r="CA32" i="2"/>
  <c r="CB32" i="2"/>
  <c r="CC32" i="2"/>
  <c r="CD32" i="2"/>
  <c r="CE32" i="2"/>
  <c r="CF32" i="2"/>
  <c r="CG32" i="2"/>
  <c r="CH32" i="2"/>
  <c r="CI32" i="2"/>
  <c r="CJ32" i="2"/>
  <c r="CK32" i="2"/>
  <c r="CL32" i="2"/>
  <c r="CM32" i="2"/>
  <c r="CN32" i="2"/>
  <c r="C33" i="2"/>
  <c r="D33" i="2"/>
  <c r="E33" i="2"/>
  <c r="F33" i="2"/>
  <c r="G33" i="2"/>
  <c r="H33" i="2"/>
  <c r="I33" i="2"/>
  <c r="J33" i="2"/>
  <c r="K33" i="2"/>
  <c r="L33" i="2"/>
  <c r="M33" i="2"/>
  <c r="N33" i="2"/>
  <c r="O33" i="2"/>
  <c r="P33" i="2"/>
  <c r="Q33" i="2"/>
  <c r="R33" i="2"/>
  <c r="S33" i="2"/>
  <c r="T33" i="2"/>
  <c r="U33" i="2"/>
  <c r="V33" i="2"/>
  <c r="W33" i="2"/>
  <c r="X33" i="2"/>
  <c r="Y33" i="2"/>
  <c r="Z33" i="2"/>
  <c r="AA33" i="2"/>
  <c r="AB33" i="2"/>
  <c r="AC33" i="2"/>
  <c r="AD33" i="2"/>
  <c r="AE33" i="2"/>
  <c r="AF33" i="2"/>
  <c r="AG33" i="2"/>
  <c r="AH33" i="2"/>
  <c r="AI33" i="2"/>
  <c r="AJ33" i="2"/>
  <c r="AK33" i="2"/>
  <c r="AL33" i="2"/>
  <c r="AM33" i="2"/>
  <c r="AN33" i="2"/>
  <c r="AO33" i="2"/>
  <c r="AP33" i="2"/>
  <c r="AQ33" i="2"/>
  <c r="AR33" i="2"/>
  <c r="AS33" i="2"/>
  <c r="AT33" i="2"/>
  <c r="AU33" i="2"/>
  <c r="AV33" i="2"/>
  <c r="AW33" i="2"/>
  <c r="AX33" i="2"/>
  <c r="AY33" i="2"/>
  <c r="AZ33" i="2"/>
  <c r="BA33" i="2"/>
  <c r="BB33" i="2"/>
  <c r="BC33" i="2"/>
  <c r="BD33" i="2"/>
  <c r="BE33" i="2"/>
  <c r="BF33" i="2"/>
  <c r="BG33" i="2"/>
  <c r="BH33" i="2"/>
  <c r="BI33" i="2"/>
  <c r="BJ33" i="2"/>
  <c r="BK33" i="2"/>
  <c r="BL33" i="2"/>
  <c r="BM33" i="2"/>
  <c r="BN33" i="2"/>
  <c r="BO33" i="2"/>
  <c r="BP33" i="2"/>
  <c r="BQ33" i="2"/>
  <c r="BR33" i="2"/>
  <c r="BS33" i="2"/>
  <c r="BT33" i="2"/>
  <c r="BU33" i="2"/>
  <c r="BV33" i="2"/>
  <c r="BW33" i="2"/>
  <c r="BX33" i="2"/>
  <c r="BY33" i="2"/>
  <c r="BZ33" i="2"/>
  <c r="CA33" i="2"/>
  <c r="CB33" i="2"/>
  <c r="CC33" i="2"/>
  <c r="CD33" i="2"/>
  <c r="CE33" i="2"/>
  <c r="CF33" i="2"/>
  <c r="CG33" i="2"/>
  <c r="CH33" i="2"/>
  <c r="CI33" i="2"/>
  <c r="CJ33" i="2"/>
  <c r="CK33" i="2"/>
  <c r="CL33" i="2"/>
  <c r="CM33" i="2"/>
  <c r="CN33" i="2"/>
  <c r="C34" i="2"/>
  <c r="D34" i="2"/>
  <c r="E34" i="2"/>
  <c r="F34" i="2"/>
  <c r="G34" i="2"/>
  <c r="H34" i="2"/>
  <c r="I34" i="2"/>
  <c r="J34" i="2"/>
  <c r="K34" i="2"/>
  <c r="L34" i="2"/>
  <c r="M34" i="2"/>
  <c r="N34" i="2"/>
  <c r="O34" i="2"/>
  <c r="P34" i="2"/>
  <c r="Q34" i="2"/>
  <c r="R34" i="2"/>
  <c r="S34" i="2"/>
  <c r="T34" i="2"/>
  <c r="U34" i="2"/>
  <c r="V34" i="2"/>
  <c r="W34" i="2"/>
  <c r="X34" i="2"/>
  <c r="Y34" i="2"/>
  <c r="Z34" i="2"/>
  <c r="AA34" i="2"/>
  <c r="AB34" i="2"/>
  <c r="AC34" i="2"/>
  <c r="AD34" i="2"/>
  <c r="AE34" i="2"/>
  <c r="AF34" i="2"/>
  <c r="AG34" i="2"/>
  <c r="AH34" i="2"/>
  <c r="AI34" i="2"/>
  <c r="AJ34" i="2"/>
  <c r="AK34" i="2"/>
  <c r="AL34" i="2"/>
  <c r="AM34" i="2"/>
  <c r="AN34" i="2"/>
  <c r="AO34" i="2"/>
  <c r="AP34" i="2"/>
  <c r="AQ34" i="2"/>
  <c r="AR34" i="2"/>
  <c r="AS34" i="2"/>
  <c r="AT34" i="2"/>
  <c r="AU34" i="2"/>
  <c r="AV34" i="2"/>
  <c r="AW34" i="2"/>
  <c r="AX34" i="2"/>
  <c r="AY34" i="2"/>
  <c r="AZ34" i="2"/>
  <c r="BA34" i="2"/>
  <c r="BB34" i="2"/>
  <c r="BC34" i="2"/>
  <c r="BD34" i="2"/>
  <c r="BE34" i="2"/>
  <c r="BF34" i="2"/>
  <c r="BG34" i="2"/>
  <c r="BH34" i="2"/>
  <c r="BI34" i="2"/>
  <c r="BJ34" i="2"/>
  <c r="BK34" i="2"/>
  <c r="BL34" i="2"/>
  <c r="BM34" i="2"/>
  <c r="BN34" i="2"/>
  <c r="BO34" i="2"/>
  <c r="BP34" i="2"/>
  <c r="BQ34" i="2"/>
  <c r="BR34" i="2"/>
  <c r="BS34" i="2"/>
  <c r="BT34" i="2"/>
  <c r="BU34" i="2"/>
  <c r="BV34" i="2"/>
  <c r="BW34" i="2"/>
  <c r="BX34" i="2"/>
  <c r="BY34" i="2"/>
  <c r="BZ34" i="2"/>
  <c r="CA34" i="2"/>
  <c r="CB34" i="2"/>
  <c r="CC34" i="2"/>
  <c r="CD34" i="2"/>
  <c r="CE34" i="2"/>
  <c r="CF34" i="2"/>
  <c r="CG34" i="2"/>
  <c r="CH34" i="2"/>
  <c r="CI34" i="2"/>
  <c r="CJ34" i="2"/>
  <c r="CK34" i="2"/>
  <c r="CL34" i="2"/>
  <c r="CM34" i="2"/>
  <c r="CN34" i="2"/>
  <c r="C35" i="2"/>
  <c r="D35" i="2"/>
  <c r="E35" i="2"/>
  <c r="F35" i="2"/>
  <c r="G35" i="2"/>
  <c r="H35" i="2"/>
  <c r="I35" i="2"/>
  <c r="J35" i="2"/>
  <c r="K35" i="2"/>
  <c r="L35" i="2"/>
  <c r="M35" i="2"/>
  <c r="N35" i="2"/>
  <c r="O35" i="2"/>
  <c r="P35" i="2"/>
  <c r="Q35" i="2"/>
  <c r="R35" i="2"/>
  <c r="S35" i="2"/>
  <c r="T35" i="2"/>
  <c r="U35" i="2"/>
  <c r="V35" i="2"/>
  <c r="W35" i="2"/>
  <c r="X35" i="2"/>
  <c r="Y35" i="2"/>
  <c r="Z35" i="2"/>
  <c r="AA35" i="2"/>
  <c r="AB35" i="2"/>
  <c r="AC35" i="2"/>
  <c r="AD35" i="2"/>
  <c r="AE35" i="2"/>
  <c r="AF35" i="2"/>
  <c r="AG35" i="2"/>
  <c r="AH35" i="2"/>
  <c r="AI35" i="2"/>
  <c r="AJ35" i="2"/>
  <c r="AK35" i="2"/>
  <c r="AL35" i="2"/>
  <c r="AM35" i="2"/>
  <c r="AN35" i="2"/>
  <c r="AO35" i="2"/>
  <c r="AP35" i="2"/>
  <c r="AQ35" i="2"/>
  <c r="AR35" i="2"/>
  <c r="AS35" i="2"/>
  <c r="AT35" i="2"/>
  <c r="AU35" i="2"/>
  <c r="AV35" i="2"/>
  <c r="AW35" i="2"/>
  <c r="AX35" i="2"/>
  <c r="AY35" i="2"/>
  <c r="AZ35" i="2"/>
  <c r="BA35" i="2"/>
  <c r="BB35" i="2"/>
  <c r="BC35" i="2"/>
  <c r="BD35" i="2"/>
  <c r="BE35" i="2"/>
  <c r="BF35" i="2"/>
  <c r="BG35" i="2"/>
  <c r="BH35" i="2"/>
  <c r="BI35" i="2"/>
  <c r="BJ35" i="2"/>
  <c r="BK35" i="2"/>
  <c r="BL35" i="2"/>
  <c r="BM35" i="2"/>
  <c r="BN35" i="2"/>
  <c r="BO35" i="2"/>
  <c r="BP35" i="2"/>
  <c r="BQ35" i="2"/>
  <c r="BR35" i="2"/>
  <c r="BS35" i="2"/>
  <c r="BT35" i="2"/>
  <c r="BU35" i="2"/>
  <c r="BV35" i="2"/>
  <c r="BW35" i="2"/>
  <c r="BX35" i="2"/>
  <c r="BY35" i="2"/>
  <c r="BZ35" i="2"/>
  <c r="CA35" i="2"/>
  <c r="CB35" i="2"/>
  <c r="CC35" i="2"/>
  <c r="CD35" i="2"/>
  <c r="CE35" i="2"/>
  <c r="CF35" i="2"/>
  <c r="CG35" i="2"/>
  <c r="CH35" i="2"/>
  <c r="CI35" i="2"/>
  <c r="CJ35" i="2"/>
  <c r="CK35" i="2"/>
  <c r="CL35" i="2"/>
  <c r="CM35" i="2"/>
  <c r="CN35" i="2"/>
  <c r="C36" i="2"/>
  <c r="D36" i="2"/>
  <c r="E36" i="2"/>
  <c r="F36" i="2"/>
  <c r="G36" i="2"/>
  <c r="H36" i="2"/>
  <c r="I36" i="2"/>
  <c r="J36" i="2"/>
  <c r="K36" i="2"/>
  <c r="L36" i="2"/>
  <c r="M36" i="2"/>
  <c r="N36" i="2"/>
  <c r="O36" i="2"/>
  <c r="P36" i="2"/>
  <c r="Q36" i="2"/>
  <c r="R36" i="2"/>
  <c r="S36" i="2"/>
  <c r="T36" i="2"/>
  <c r="U36" i="2"/>
  <c r="V36" i="2"/>
  <c r="W36" i="2"/>
  <c r="X36" i="2"/>
  <c r="Y36" i="2"/>
  <c r="Z36" i="2"/>
  <c r="AA36" i="2"/>
  <c r="AB36" i="2"/>
  <c r="AC36" i="2"/>
  <c r="AD36" i="2"/>
  <c r="AE36" i="2"/>
  <c r="AF36" i="2"/>
  <c r="AG36" i="2"/>
  <c r="AH36" i="2"/>
  <c r="AI36" i="2"/>
  <c r="AJ36" i="2"/>
  <c r="AK36" i="2"/>
  <c r="AL36" i="2"/>
  <c r="AM36" i="2"/>
  <c r="AN36" i="2"/>
  <c r="AO36" i="2"/>
  <c r="AP36" i="2"/>
  <c r="AQ36" i="2"/>
  <c r="AR36" i="2"/>
  <c r="AS36" i="2"/>
  <c r="AT36" i="2"/>
  <c r="AU36" i="2"/>
  <c r="AV36" i="2"/>
  <c r="AW36" i="2"/>
  <c r="AX36" i="2"/>
  <c r="AY36" i="2"/>
  <c r="AZ36" i="2"/>
  <c r="BA36" i="2"/>
  <c r="BB36" i="2"/>
  <c r="BC36" i="2"/>
  <c r="BD36" i="2"/>
  <c r="BE36" i="2"/>
  <c r="BF36" i="2"/>
  <c r="BG36" i="2"/>
  <c r="BH36" i="2"/>
  <c r="BI36" i="2"/>
  <c r="BJ36" i="2"/>
  <c r="BK36" i="2"/>
  <c r="BL36" i="2"/>
  <c r="BM36" i="2"/>
  <c r="BN36" i="2"/>
  <c r="BO36" i="2"/>
  <c r="BP36" i="2"/>
  <c r="BQ36" i="2"/>
  <c r="BR36" i="2"/>
  <c r="BS36" i="2"/>
  <c r="BT36" i="2"/>
  <c r="BU36" i="2"/>
  <c r="BV36" i="2"/>
  <c r="BW36" i="2"/>
  <c r="BX36" i="2"/>
  <c r="BY36" i="2"/>
  <c r="BZ36" i="2"/>
  <c r="CA36" i="2"/>
  <c r="CB36" i="2"/>
  <c r="CC36" i="2"/>
  <c r="CD36" i="2"/>
  <c r="CE36" i="2"/>
  <c r="CF36" i="2"/>
  <c r="CG36" i="2"/>
  <c r="CH36" i="2"/>
  <c r="CI36" i="2"/>
  <c r="CJ36" i="2"/>
  <c r="CK36" i="2"/>
  <c r="CL36" i="2"/>
  <c r="CM36" i="2"/>
  <c r="CN36" i="2"/>
  <c r="C37" i="2"/>
  <c r="D37" i="2"/>
  <c r="E37" i="2"/>
  <c r="F37" i="2"/>
  <c r="G37" i="2"/>
  <c r="H37" i="2"/>
  <c r="I37" i="2"/>
  <c r="J37" i="2"/>
  <c r="K37" i="2"/>
  <c r="L37" i="2"/>
  <c r="M37" i="2"/>
  <c r="N37" i="2"/>
  <c r="O37" i="2"/>
  <c r="P37" i="2"/>
  <c r="Q37" i="2"/>
  <c r="R37" i="2"/>
  <c r="S37" i="2"/>
  <c r="T37" i="2"/>
  <c r="U37" i="2"/>
  <c r="V37" i="2"/>
  <c r="W37" i="2"/>
  <c r="X37" i="2"/>
  <c r="Y37" i="2"/>
  <c r="Z37" i="2"/>
  <c r="AA37" i="2"/>
  <c r="AB37" i="2"/>
  <c r="AC37" i="2"/>
  <c r="AD37" i="2"/>
  <c r="AE37" i="2"/>
  <c r="AF37" i="2"/>
  <c r="AG37" i="2"/>
  <c r="AH37" i="2"/>
  <c r="AI37" i="2"/>
  <c r="AJ37" i="2"/>
  <c r="AK37" i="2"/>
  <c r="AL37" i="2"/>
  <c r="AM37" i="2"/>
  <c r="AN37" i="2"/>
  <c r="AO37" i="2"/>
  <c r="AP37" i="2"/>
  <c r="AQ37" i="2"/>
  <c r="AR37" i="2"/>
  <c r="AS37" i="2"/>
  <c r="AT37" i="2"/>
  <c r="AU37" i="2"/>
  <c r="AV37" i="2"/>
  <c r="AW37" i="2"/>
  <c r="AX37" i="2"/>
  <c r="AY37" i="2"/>
  <c r="AZ37" i="2"/>
  <c r="BA37" i="2"/>
  <c r="BB37" i="2"/>
  <c r="BC37" i="2"/>
  <c r="BD37" i="2"/>
  <c r="BE37" i="2"/>
  <c r="BF37" i="2"/>
  <c r="BG37" i="2"/>
  <c r="BH37" i="2"/>
  <c r="BI37" i="2"/>
  <c r="BJ37" i="2"/>
  <c r="BK37" i="2"/>
  <c r="BL37" i="2"/>
  <c r="BM37" i="2"/>
  <c r="BN37" i="2"/>
  <c r="BO37" i="2"/>
  <c r="BP37" i="2"/>
  <c r="BQ37" i="2"/>
  <c r="BR37" i="2"/>
  <c r="BS37" i="2"/>
  <c r="BT37" i="2"/>
  <c r="BU37" i="2"/>
  <c r="BV37" i="2"/>
  <c r="BW37" i="2"/>
  <c r="BX37" i="2"/>
  <c r="BY37" i="2"/>
  <c r="BZ37" i="2"/>
  <c r="CA37" i="2"/>
  <c r="CB37" i="2"/>
  <c r="CC37" i="2"/>
  <c r="CD37" i="2"/>
  <c r="CE37" i="2"/>
  <c r="CF37" i="2"/>
  <c r="CG37" i="2"/>
  <c r="CH37" i="2"/>
  <c r="CI37" i="2"/>
  <c r="CJ37" i="2"/>
  <c r="CK37" i="2"/>
  <c r="CL37" i="2"/>
  <c r="CM37" i="2"/>
  <c r="CN37" i="2"/>
  <c r="C38" i="2"/>
  <c r="D38" i="2"/>
  <c r="E38" i="2"/>
  <c r="F38" i="2"/>
  <c r="G38" i="2"/>
  <c r="H38" i="2"/>
  <c r="I38" i="2"/>
  <c r="J38" i="2"/>
  <c r="K38" i="2"/>
  <c r="L38" i="2"/>
  <c r="M38" i="2"/>
  <c r="N38" i="2"/>
  <c r="O38" i="2"/>
  <c r="P38" i="2"/>
  <c r="Q38" i="2"/>
  <c r="R38" i="2"/>
  <c r="S38" i="2"/>
  <c r="T38" i="2"/>
  <c r="U38" i="2"/>
  <c r="V38" i="2"/>
  <c r="W38" i="2"/>
  <c r="X38" i="2"/>
  <c r="Y38" i="2"/>
  <c r="Z38" i="2"/>
  <c r="AA38" i="2"/>
  <c r="AB38" i="2"/>
  <c r="AC38" i="2"/>
  <c r="AD38" i="2"/>
  <c r="AE38" i="2"/>
  <c r="AF38" i="2"/>
  <c r="AG38" i="2"/>
  <c r="AH38" i="2"/>
  <c r="AI38" i="2"/>
  <c r="AJ38" i="2"/>
  <c r="AK38" i="2"/>
  <c r="AL38" i="2"/>
  <c r="AM38" i="2"/>
  <c r="AN38" i="2"/>
  <c r="AO38" i="2"/>
  <c r="AP38" i="2"/>
  <c r="AQ38" i="2"/>
  <c r="AR38" i="2"/>
  <c r="AS38" i="2"/>
  <c r="AT38" i="2"/>
  <c r="AU38" i="2"/>
  <c r="AV38" i="2"/>
  <c r="AW38" i="2"/>
  <c r="AX38" i="2"/>
  <c r="AY38" i="2"/>
  <c r="AZ38" i="2"/>
  <c r="BA38" i="2"/>
  <c r="BB38" i="2"/>
  <c r="BC38" i="2"/>
  <c r="BD38" i="2"/>
  <c r="BE38" i="2"/>
  <c r="BF38" i="2"/>
  <c r="BG38" i="2"/>
  <c r="BH38" i="2"/>
  <c r="BI38" i="2"/>
  <c r="BJ38" i="2"/>
  <c r="BK38" i="2"/>
  <c r="BL38" i="2"/>
  <c r="BM38" i="2"/>
  <c r="BN38" i="2"/>
  <c r="BO38" i="2"/>
  <c r="BP38" i="2"/>
  <c r="BQ38" i="2"/>
  <c r="BR38" i="2"/>
  <c r="BS38" i="2"/>
  <c r="BT38" i="2"/>
  <c r="BU38" i="2"/>
  <c r="BV38" i="2"/>
  <c r="BW38" i="2"/>
  <c r="BX38" i="2"/>
  <c r="BY38" i="2"/>
  <c r="BZ38" i="2"/>
  <c r="CA38" i="2"/>
  <c r="CB38" i="2"/>
  <c r="CC38" i="2"/>
  <c r="CD38" i="2"/>
  <c r="CE38" i="2"/>
  <c r="CF38" i="2"/>
  <c r="CG38" i="2"/>
  <c r="CH38" i="2"/>
  <c r="CI38" i="2"/>
  <c r="CJ38" i="2"/>
  <c r="CK38" i="2"/>
  <c r="CL38" i="2"/>
  <c r="CM38" i="2"/>
  <c r="CN38" i="2"/>
  <c r="C39" i="2"/>
  <c r="D39" i="2"/>
  <c r="E39" i="2"/>
  <c r="F39" i="2"/>
  <c r="G39" i="2"/>
  <c r="H39" i="2"/>
  <c r="I39" i="2"/>
  <c r="J39" i="2"/>
  <c r="K39" i="2"/>
  <c r="L39" i="2"/>
  <c r="M39" i="2"/>
  <c r="N39" i="2"/>
  <c r="O39" i="2"/>
  <c r="P39" i="2"/>
  <c r="Q39" i="2"/>
  <c r="R39" i="2"/>
  <c r="S39" i="2"/>
  <c r="T39" i="2"/>
  <c r="U39" i="2"/>
  <c r="V39" i="2"/>
  <c r="W39" i="2"/>
  <c r="X39" i="2"/>
  <c r="Y39" i="2"/>
  <c r="Z39" i="2"/>
  <c r="AA39" i="2"/>
  <c r="AB39" i="2"/>
  <c r="AC39" i="2"/>
  <c r="AD39" i="2"/>
  <c r="AE39" i="2"/>
  <c r="AF39" i="2"/>
  <c r="AG39" i="2"/>
  <c r="AH39" i="2"/>
  <c r="AI39" i="2"/>
  <c r="AJ39" i="2"/>
  <c r="AK39" i="2"/>
  <c r="AL39" i="2"/>
  <c r="AM39" i="2"/>
  <c r="AN39" i="2"/>
  <c r="AO39" i="2"/>
  <c r="AP39" i="2"/>
  <c r="AQ39" i="2"/>
  <c r="AR39" i="2"/>
  <c r="AS39" i="2"/>
  <c r="AT39" i="2"/>
  <c r="AU39" i="2"/>
  <c r="AV39" i="2"/>
  <c r="AW39" i="2"/>
  <c r="AX39" i="2"/>
  <c r="AY39" i="2"/>
  <c r="AZ39" i="2"/>
  <c r="BA39" i="2"/>
  <c r="BB39" i="2"/>
  <c r="BC39" i="2"/>
  <c r="BD39" i="2"/>
  <c r="BE39" i="2"/>
  <c r="BF39" i="2"/>
  <c r="BG39" i="2"/>
  <c r="BH39" i="2"/>
  <c r="BI39" i="2"/>
  <c r="BJ39" i="2"/>
  <c r="BK39" i="2"/>
  <c r="BL39" i="2"/>
  <c r="BM39" i="2"/>
  <c r="BN39" i="2"/>
  <c r="BO39" i="2"/>
  <c r="BP39" i="2"/>
  <c r="BQ39" i="2"/>
  <c r="BR39" i="2"/>
  <c r="BS39" i="2"/>
  <c r="BT39" i="2"/>
  <c r="BU39" i="2"/>
  <c r="BV39" i="2"/>
  <c r="BW39" i="2"/>
  <c r="BX39" i="2"/>
  <c r="BY39" i="2"/>
  <c r="BZ39" i="2"/>
  <c r="CA39" i="2"/>
  <c r="CB39" i="2"/>
  <c r="CC39" i="2"/>
  <c r="CD39" i="2"/>
  <c r="CE39" i="2"/>
  <c r="CF39" i="2"/>
  <c r="CG39" i="2"/>
  <c r="CH39" i="2"/>
  <c r="CI39" i="2"/>
  <c r="CJ39" i="2"/>
  <c r="CK39" i="2"/>
  <c r="CL39" i="2"/>
  <c r="CM39" i="2"/>
  <c r="CN39" i="2"/>
  <c r="C40" i="2"/>
  <c r="D40" i="2"/>
  <c r="E40" i="2"/>
  <c r="F40" i="2"/>
  <c r="G40" i="2"/>
  <c r="H40" i="2"/>
  <c r="I40" i="2"/>
  <c r="J40" i="2"/>
  <c r="K40" i="2"/>
  <c r="L40" i="2"/>
  <c r="M40" i="2"/>
  <c r="N40" i="2"/>
  <c r="O40" i="2"/>
  <c r="P40" i="2"/>
  <c r="Q40" i="2"/>
  <c r="R40" i="2"/>
  <c r="S40" i="2"/>
  <c r="T40" i="2"/>
  <c r="U40" i="2"/>
  <c r="V40" i="2"/>
  <c r="W40" i="2"/>
  <c r="X40" i="2"/>
  <c r="Y40" i="2"/>
  <c r="Z40" i="2"/>
  <c r="AA40" i="2"/>
  <c r="AB40" i="2"/>
  <c r="AC40" i="2"/>
  <c r="AD40" i="2"/>
  <c r="AE40" i="2"/>
  <c r="AF40" i="2"/>
  <c r="AG40" i="2"/>
  <c r="AH40" i="2"/>
  <c r="AI40" i="2"/>
  <c r="AJ40" i="2"/>
  <c r="AK40" i="2"/>
  <c r="AL40" i="2"/>
  <c r="AM40" i="2"/>
  <c r="AN40" i="2"/>
  <c r="AO40" i="2"/>
  <c r="AP40" i="2"/>
  <c r="AQ40" i="2"/>
  <c r="AR40" i="2"/>
  <c r="AS40" i="2"/>
  <c r="AT40" i="2"/>
  <c r="AU40" i="2"/>
  <c r="AV40" i="2"/>
  <c r="AW40" i="2"/>
  <c r="AX40" i="2"/>
  <c r="AY40" i="2"/>
  <c r="AZ40" i="2"/>
  <c r="BA40" i="2"/>
  <c r="BB40" i="2"/>
  <c r="BC40" i="2"/>
  <c r="BD40" i="2"/>
  <c r="BE40" i="2"/>
  <c r="BF40" i="2"/>
  <c r="BG40" i="2"/>
  <c r="BH40" i="2"/>
  <c r="BI40" i="2"/>
  <c r="BJ40" i="2"/>
  <c r="BK40" i="2"/>
  <c r="BL40" i="2"/>
  <c r="BM40" i="2"/>
  <c r="BN40" i="2"/>
  <c r="BO40" i="2"/>
  <c r="BP40" i="2"/>
  <c r="BQ40" i="2"/>
  <c r="BR40" i="2"/>
  <c r="BS40" i="2"/>
  <c r="BT40" i="2"/>
  <c r="BU40" i="2"/>
  <c r="BV40" i="2"/>
  <c r="BW40" i="2"/>
  <c r="BX40" i="2"/>
  <c r="BY40" i="2"/>
  <c r="BZ40" i="2"/>
  <c r="CA40" i="2"/>
  <c r="CB40" i="2"/>
  <c r="CC40" i="2"/>
  <c r="CD40" i="2"/>
  <c r="CE40" i="2"/>
  <c r="CF40" i="2"/>
  <c r="CG40" i="2"/>
  <c r="CH40" i="2"/>
  <c r="CI40" i="2"/>
  <c r="CJ40" i="2"/>
  <c r="CK40" i="2"/>
  <c r="CL40" i="2"/>
  <c r="CM40" i="2"/>
  <c r="CN40" i="2"/>
  <c r="C41" i="2"/>
  <c r="D41" i="2"/>
  <c r="E41" i="2"/>
  <c r="F41" i="2"/>
  <c r="G41" i="2"/>
  <c r="H41" i="2"/>
  <c r="I41" i="2"/>
  <c r="J41" i="2"/>
  <c r="K41" i="2"/>
  <c r="L41" i="2"/>
  <c r="M41" i="2"/>
  <c r="N41" i="2"/>
  <c r="O41" i="2"/>
  <c r="P41" i="2"/>
  <c r="Q41" i="2"/>
  <c r="R41" i="2"/>
  <c r="S41" i="2"/>
  <c r="T41" i="2"/>
  <c r="U41" i="2"/>
  <c r="V41" i="2"/>
  <c r="W41" i="2"/>
  <c r="X41" i="2"/>
  <c r="Y41" i="2"/>
  <c r="Z41" i="2"/>
  <c r="AA41" i="2"/>
  <c r="AB41" i="2"/>
  <c r="AC41" i="2"/>
  <c r="AD41" i="2"/>
  <c r="AE41" i="2"/>
  <c r="AF41" i="2"/>
  <c r="AG41" i="2"/>
  <c r="AH41" i="2"/>
  <c r="AI41" i="2"/>
  <c r="AJ41" i="2"/>
  <c r="AK41" i="2"/>
  <c r="AL41" i="2"/>
  <c r="AM41" i="2"/>
  <c r="AN41" i="2"/>
  <c r="AO41" i="2"/>
  <c r="AP41" i="2"/>
  <c r="AQ41" i="2"/>
  <c r="AR41" i="2"/>
  <c r="AS41" i="2"/>
  <c r="AT41" i="2"/>
  <c r="AU41" i="2"/>
  <c r="AV41" i="2"/>
  <c r="AW41" i="2"/>
  <c r="AX41" i="2"/>
  <c r="AY41" i="2"/>
  <c r="AZ41" i="2"/>
  <c r="BA41" i="2"/>
  <c r="BB41" i="2"/>
  <c r="BC41" i="2"/>
  <c r="BD41" i="2"/>
  <c r="BE41" i="2"/>
  <c r="BF41" i="2"/>
  <c r="BG41" i="2"/>
  <c r="BH41" i="2"/>
  <c r="BI41" i="2"/>
  <c r="BJ41" i="2"/>
  <c r="BK41" i="2"/>
  <c r="BL41" i="2"/>
  <c r="BM41" i="2"/>
  <c r="BN41" i="2"/>
  <c r="BO41" i="2"/>
  <c r="BP41" i="2"/>
  <c r="BQ41" i="2"/>
  <c r="BR41" i="2"/>
  <c r="BS41" i="2"/>
  <c r="BT41" i="2"/>
  <c r="BU41" i="2"/>
  <c r="BV41" i="2"/>
  <c r="BW41" i="2"/>
  <c r="BX41" i="2"/>
  <c r="BY41" i="2"/>
  <c r="BZ41" i="2"/>
  <c r="CA41" i="2"/>
  <c r="CB41" i="2"/>
  <c r="CC41" i="2"/>
  <c r="CD41" i="2"/>
  <c r="CE41" i="2"/>
  <c r="CF41" i="2"/>
  <c r="CG41" i="2"/>
  <c r="CH41" i="2"/>
  <c r="CI41" i="2"/>
  <c r="CJ41" i="2"/>
  <c r="CK41" i="2"/>
  <c r="CL41" i="2"/>
  <c r="CM41" i="2"/>
  <c r="CN41" i="2"/>
  <c r="C42" i="2"/>
  <c r="D42" i="2"/>
  <c r="E42" i="2"/>
  <c r="F42" i="2"/>
  <c r="G42" i="2"/>
  <c r="H42" i="2"/>
  <c r="I42" i="2"/>
  <c r="J42" i="2"/>
  <c r="K42" i="2"/>
  <c r="L42" i="2"/>
  <c r="M42" i="2"/>
  <c r="N42" i="2"/>
  <c r="O42" i="2"/>
  <c r="P42" i="2"/>
  <c r="Q42" i="2"/>
  <c r="R42" i="2"/>
  <c r="S42" i="2"/>
  <c r="T42" i="2"/>
  <c r="U42" i="2"/>
  <c r="V42" i="2"/>
  <c r="W42" i="2"/>
  <c r="X42" i="2"/>
  <c r="Y42" i="2"/>
  <c r="Z42" i="2"/>
  <c r="AA42" i="2"/>
  <c r="AB42" i="2"/>
  <c r="AC42" i="2"/>
  <c r="AD42" i="2"/>
  <c r="AE42" i="2"/>
  <c r="AF42" i="2"/>
  <c r="AG42" i="2"/>
  <c r="AH42" i="2"/>
  <c r="AI42" i="2"/>
  <c r="AJ42" i="2"/>
  <c r="AK42" i="2"/>
  <c r="AL42" i="2"/>
  <c r="AM42" i="2"/>
  <c r="AN42" i="2"/>
  <c r="AO42" i="2"/>
  <c r="AP42" i="2"/>
  <c r="AQ42" i="2"/>
  <c r="AR42" i="2"/>
  <c r="AS42" i="2"/>
  <c r="AT42" i="2"/>
  <c r="AU42" i="2"/>
  <c r="AV42" i="2"/>
  <c r="AW42" i="2"/>
  <c r="AX42" i="2"/>
  <c r="AY42" i="2"/>
  <c r="AZ42" i="2"/>
  <c r="BA42" i="2"/>
  <c r="BB42" i="2"/>
  <c r="BC42" i="2"/>
  <c r="BD42" i="2"/>
  <c r="BE42" i="2"/>
  <c r="BF42" i="2"/>
  <c r="BG42" i="2"/>
  <c r="BH42" i="2"/>
  <c r="BI42" i="2"/>
  <c r="BJ42" i="2"/>
  <c r="BK42" i="2"/>
  <c r="BL42" i="2"/>
  <c r="BM42" i="2"/>
  <c r="BN42" i="2"/>
  <c r="BO42" i="2"/>
  <c r="BP42" i="2"/>
  <c r="BQ42" i="2"/>
  <c r="BR42" i="2"/>
  <c r="BS42" i="2"/>
  <c r="BT42" i="2"/>
  <c r="BU42" i="2"/>
  <c r="BV42" i="2"/>
  <c r="BW42" i="2"/>
  <c r="BX42" i="2"/>
  <c r="BY42" i="2"/>
  <c r="BZ42" i="2"/>
  <c r="CA42" i="2"/>
  <c r="CB42" i="2"/>
  <c r="CC42" i="2"/>
  <c r="CD42" i="2"/>
  <c r="CE42" i="2"/>
  <c r="CF42" i="2"/>
  <c r="CG42" i="2"/>
  <c r="CH42" i="2"/>
  <c r="CI42" i="2"/>
  <c r="CJ42" i="2"/>
  <c r="CK42" i="2"/>
  <c r="CL42" i="2"/>
  <c r="CM42" i="2"/>
  <c r="CN42" i="2"/>
  <c r="C43" i="2"/>
  <c r="D43" i="2"/>
  <c r="E43" i="2"/>
  <c r="F43" i="2"/>
  <c r="G43" i="2"/>
  <c r="H43" i="2"/>
  <c r="I43" i="2"/>
  <c r="J43" i="2"/>
  <c r="K43" i="2"/>
  <c r="L43" i="2"/>
  <c r="M43" i="2"/>
  <c r="N43" i="2"/>
  <c r="O43" i="2"/>
  <c r="P43" i="2"/>
  <c r="Q43" i="2"/>
  <c r="R43" i="2"/>
  <c r="S43" i="2"/>
  <c r="T43" i="2"/>
  <c r="U43" i="2"/>
  <c r="V43" i="2"/>
  <c r="W43" i="2"/>
  <c r="X43" i="2"/>
  <c r="Y43" i="2"/>
  <c r="Z43" i="2"/>
  <c r="AA43" i="2"/>
  <c r="AB43" i="2"/>
  <c r="AC43" i="2"/>
  <c r="AD43" i="2"/>
  <c r="AE43" i="2"/>
  <c r="AF43" i="2"/>
  <c r="AG43" i="2"/>
  <c r="AH43" i="2"/>
  <c r="AI43" i="2"/>
  <c r="AJ43" i="2"/>
  <c r="AK43" i="2"/>
  <c r="AL43" i="2"/>
  <c r="AM43" i="2"/>
  <c r="AN43" i="2"/>
  <c r="AO43" i="2"/>
  <c r="AP43" i="2"/>
  <c r="AQ43" i="2"/>
  <c r="AR43" i="2"/>
  <c r="AS43" i="2"/>
  <c r="AT43" i="2"/>
  <c r="AU43" i="2"/>
  <c r="AV43" i="2"/>
  <c r="AW43" i="2"/>
  <c r="AX43" i="2"/>
  <c r="AY43" i="2"/>
  <c r="AZ43" i="2"/>
  <c r="BA43" i="2"/>
  <c r="BB43" i="2"/>
  <c r="BC43" i="2"/>
  <c r="BD43" i="2"/>
  <c r="BE43" i="2"/>
  <c r="BF43" i="2"/>
  <c r="BG43" i="2"/>
  <c r="BH43" i="2"/>
  <c r="BI43" i="2"/>
  <c r="BJ43" i="2"/>
  <c r="BK43" i="2"/>
  <c r="BL43" i="2"/>
  <c r="BM43" i="2"/>
  <c r="BN43" i="2"/>
  <c r="BO43" i="2"/>
  <c r="BP43" i="2"/>
  <c r="BQ43" i="2"/>
  <c r="BR43" i="2"/>
  <c r="BS43" i="2"/>
  <c r="BT43" i="2"/>
  <c r="BU43" i="2"/>
  <c r="BV43" i="2"/>
  <c r="BW43" i="2"/>
  <c r="BX43" i="2"/>
  <c r="BY43" i="2"/>
  <c r="BZ43" i="2"/>
  <c r="CA43" i="2"/>
  <c r="CB43" i="2"/>
  <c r="CC43" i="2"/>
  <c r="CD43" i="2"/>
  <c r="CE43" i="2"/>
  <c r="CF43" i="2"/>
  <c r="CG43" i="2"/>
  <c r="CH43" i="2"/>
  <c r="CI43" i="2"/>
  <c r="CJ43" i="2"/>
  <c r="CK43" i="2"/>
  <c r="CL43" i="2"/>
  <c r="CM43" i="2"/>
  <c r="CN43" i="2"/>
  <c r="C44" i="2"/>
  <c r="D44" i="2"/>
  <c r="E44" i="2"/>
  <c r="F44" i="2"/>
  <c r="G44" i="2"/>
  <c r="H44" i="2"/>
  <c r="I44" i="2"/>
  <c r="J44" i="2"/>
  <c r="K44" i="2"/>
  <c r="L44" i="2"/>
  <c r="M44" i="2"/>
  <c r="N44" i="2"/>
  <c r="O44" i="2"/>
  <c r="P44" i="2"/>
  <c r="Q44" i="2"/>
  <c r="R44" i="2"/>
  <c r="S44" i="2"/>
  <c r="T44" i="2"/>
  <c r="U44" i="2"/>
  <c r="V44" i="2"/>
  <c r="W44" i="2"/>
  <c r="X44" i="2"/>
  <c r="Y44" i="2"/>
  <c r="Z44" i="2"/>
  <c r="AA44" i="2"/>
  <c r="AB44" i="2"/>
  <c r="AC44" i="2"/>
  <c r="AD44" i="2"/>
  <c r="AE44" i="2"/>
  <c r="AF44" i="2"/>
  <c r="AG44" i="2"/>
  <c r="AH44" i="2"/>
  <c r="AI44" i="2"/>
  <c r="AJ44" i="2"/>
  <c r="AK44" i="2"/>
  <c r="AL44" i="2"/>
  <c r="AM44" i="2"/>
  <c r="AN44" i="2"/>
  <c r="AO44" i="2"/>
  <c r="AP44" i="2"/>
  <c r="AQ44" i="2"/>
  <c r="AR44" i="2"/>
  <c r="AS44" i="2"/>
  <c r="AT44" i="2"/>
  <c r="AU44" i="2"/>
  <c r="AV44" i="2"/>
  <c r="AW44" i="2"/>
  <c r="AX44" i="2"/>
  <c r="AY44" i="2"/>
  <c r="AZ44" i="2"/>
  <c r="BA44" i="2"/>
  <c r="BB44" i="2"/>
  <c r="BC44" i="2"/>
  <c r="BD44" i="2"/>
  <c r="BE44" i="2"/>
  <c r="BF44" i="2"/>
  <c r="BG44" i="2"/>
  <c r="BH44" i="2"/>
  <c r="BI44" i="2"/>
  <c r="BJ44" i="2"/>
  <c r="BK44" i="2"/>
  <c r="BL44" i="2"/>
  <c r="BM44" i="2"/>
  <c r="BN44" i="2"/>
  <c r="BO44" i="2"/>
  <c r="BP44" i="2"/>
  <c r="BQ44" i="2"/>
  <c r="BR44" i="2"/>
  <c r="BS44" i="2"/>
  <c r="BT44" i="2"/>
  <c r="BU44" i="2"/>
  <c r="BV44" i="2"/>
  <c r="BW44" i="2"/>
  <c r="BX44" i="2"/>
  <c r="BY44" i="2"/>
  <c r="BZ44" i="2"/>
  <c r="CA44" i="2"/>
  <c r="CB44" i="2"/>
  <c r="CC44" i="2"/>
  <c r="CD44" i="2"/>
  <c r="CE44" i="2"/>
  <c r="CF44" i="2"/>
  <c r="CG44" i="2"/>
  <c r="CH44" i="2"/>
  <c r="CI44" i="2"/>
  <c r="CJ44" i="2"/>
  <c r="CK44" i="2"/>
  <c r="CL44" i="2"/>
  <c r="CM44" i="2"/>
  <c r="CN44" i="2"/>
  <c r="C45" i="2"/>
  <c r="D45" i="2"/>
  <c r="E45" i="2"/>
  <c r="F45" i="2"/>
  <c r="G45" i="2"/>
  <c r="H45" i="2"/>
  <c r="I45" i="2"/>
  <c r="J45" i="2"/>
  <c r="K45" i="2"/>
  <c r="L45" i="2"/>
  <c r="M45" i="2"/>
  <c r="N45" i="2"/>
  <c r="O45" i="2"/>
  <c r="P45" i="2"/>
  <c r="Q45" i="2"/>
  <c r="R45" i="2"/>
  <c r="S45" i="2"/>
  <c r="T45" i="2"/>
  <c r="U45" i="2"/>
  <c r="V45" i="2"/>
  <c r="W45" i="2"/>
  <c r="X45" i="2"/>
  <c r="Y45" i="2"/>
  <c r="Z45" i="2"/>
  <c r="AA45" i="2"/>
  <c r="AB45" i="2"/>
  <c r="AC45" i="2"/>
  <c r="AD45" i="2"/>
  <c r="AE45" i="2"/>
  <c r="AF45" i="2"/>
  <c r="AG45" i="2"/>
  <c r="AH45" i="2"/>
  <c r="AI45" i="2"/>
  <c r="AJ45" i="2"/>
  <c r="AK45" i="2"/>
  <c r="AL45" i="2"/>
  <c r="AM45" i="2"/>
  <c r="AN45" i="2"/>
  <c r="AO45" i="2"/>
  <c r="AP45" i="2"/>
  <c r="AQ45" i="2"/>
  <c r="AR45" i="2"/>
  <c r="AS45" i="2"/>
  <c r="AT45" i="2"/>
  <c r="AU45" i="2"/>
  <c r="AV45" i="2"/>
  <c r="AW45" i="2"/>
  <c r="AX45" i="2"/>
  <c r="AY45" i="2"/>
  <c r="AZ45" i="2"/>
  <c r="BA45" i="2"/>
  <c r="BB45" i="2"/>
  <c r="BC45" i="2"/>
  <c r="BD45" i="2"/>
  <c r="BE45" i="2"/>
  <c r="BF45" i="2"/>
  <c r="BG45" i="2"/>
  <c r="BH45" i="2"/>
  <c r="BI45" i="2"/>
  <c r="BJ45" i="2"/>
  <c r="BK45" i="2"/>
  <c r="BL45" i="2"/>
  <c r="BM45" i="2"/>
  <c r="BN45" i="2"/>
  <c r="BO45" i="2"/>
  <c r="BP45" i="2"/>
  <c r="BQ45" i="2"/>
  <c r="BR45" i="2"/>
  <c r="BS45" i="2"/>
  <c r="BT45" i="2"/>
  <c r="BU45" i="2"/>
  <c r="BV45" i="2"/>
  <c r="BW45" i="2"/>
  <c r="BX45" i="2"/>
  <c r="BY45" i="2"/>
  <c r="BZ45" i="2"/>
  <c r="CA45" i="2"/>
  <c r="CB45" i="2"/>
  <c r="CC45" i="2"/>
  <c r="CD45" i="2"/>
  <c r="CE45" i="2"/>
  <c r="CF45" i="2"/>
  <c r="CG45" i="2"/>
  <c r="CH45" i="2"/>
  <c r="CI45" i="2"/>
  <c r="CJ45" i="2"/>
  <c r="CK45" i="2"/>
  <c r="CL45" i="2"/>
  <c r="CM45" i="2"/>
  <c r="CN45" i="2"/>
  <c r="C46" i="2"/>
  <c r="D46" i="2"/>
  <c r="E46" i="2"/>
  <c r="F46" i="2"/>
  <c r="G46" i="2"/>
  <c r="H46" i="2"/>
  <c r="I46" i="2"/>
  <c r="J46" i="2"/>
  <c r="K46" i="2"/>
  <c r="L46" i="2"/>
  <c r="M46" i="2"/>
  <c r="N46" i="2"/>
  <c r="O46" i="2"/>
  <c r="P46" i="2"/>
  <c r="Q46" i="2"/>
  <c r="R46" i="2"/>
  <c r="S46" i="2"/>
  <c r="T46" i="2"/>
  <c r="U46" i="2"/>
  <c r="V46" i="2"/>
  <c r="W46" i="2"/>
  <c r="X46" i="2"/>
  <c r="Y46" i="2"/>
  <c r="Z46" i="2"/>
  <c r="AA46" i="2"/>
  <c r="AB46" i="2"/>
  <c r="AC46" i="2"/>
  <c r="AD46" i="2"/>
  <c r="AE46" i="2"/>
  <c r="AF46" i="2"/>
  <c r="AG46" i="2"/>
  <c r="AH46" i="2"/>
  <c r="AI46" i="2"/>
  <c r="AJ46" i="2"/>
  <c r="AK46" i="2"/>
  <c r="AL46" i="2"/>
  <c r="AM46" i="2"/>
  <c r="AN46" i="2"/>
  <c r="AO46" i="2"/>
  <c r="AP46" i="2"/>
  <c r="AQ46" i="2"/>
  <c r="AR46" i="2"/>
  <c r="AS46" i="2"/>
  <c r="AT46" i="2"/>
  <c r="AU46" i="2"/>
  <c r="AV46" i="2"/>
  <c r="AW46" i="2"/>
  <c r="AX46" i="2"/>
  <c r="AY46" i="2"/>
  <c r="AZ46" i="2"/>
  <c r="BA46" i="2"/>
  <c r="BB46" i="2"/>
  <c r="BC46" i="2"/>
  <c r="BD46" i="2"/>
  <c r="BE46" i="2"/>
  <c r="BF46" i="2"/>
  <c r="BG46" i="2"/>
  <c r="BH46" i="2"/>
  <c r="BI46" i="2"/>
  <c r="BJ46" i="2"/>
  <c r="BK46" i="2"/>
  <c r="BL46" i="2"/>
  <c r="BM46" i="2"/>
  <c r="BN46" i="2"/>
  <c r="BO46" i="2"/>
  <c r="BP46" i="2"/>
  <c r="BQ46" i="2"/>
  <c r="BR46" i="2"/>
  <c r="BS46" i="2"/>
  <c r="BT46" i="2"/>
  <c r="BU46" i="2"/>
  <c r="BV46" i="2"/>
  <c r="BW46" i="2"/>
  <c r="BX46" i="2"/>
  <c r="BY46" i="2"/>
  <c r="BZ46" i="2"/>
  <c r="CA46" i="2"/>
  <c r="CB46" i="2"/>
  <c r="CC46" i="2"/>
  <c r="CD46" i="2"/>
  <c r="CE46" i="2"/>
  <c r="CF46" i="2"/>
  <c r="CG46" i="2"/>
  <c r="CH46" i="2"/>
  <c r="CI46" i="2"/>
  <c r="CJ46" i="2"/>
  <c r="CK46" i="2"/>
  <c r="CL46" i="2"/>
  <c r="CM46" i="2"/>
  <c r="CN46" i="2"/>
  <c r="C47" i="2"/>
  <c r="D47" i="2"/>
  <c r="E47" i="2"/>
  <c r="F47" i="2"/>
  <c r="G47" i="2"/>
  <c r="H47" i="2"/>
  <c r="I47" i="2"/>
  <c r="J47" i="2"/>
  <c r="K47" i="2"/>
  <c r="L47" i="2"/>
  <c r="M47" i="2"/>
  <c r="N47" i="2"/>
  <c r="O47" i="2"/>
  <c r="P47" i="2"/>
  <c r="Q47" i="2"/>
  <c r="R47" i="2"/>
  <c r="S47" i="2"/>
  <c r="T47" i="2"/>
  <c r="U47" i="2"/>
  <c r="V47" i="2"/>
  <c r="W47" i="2"/>
  <c r="X47" i="2"/>
  <c r="Y47" i="2"/>
  <c r="Z47" i="2"/>
  <c r="AA47" i="2"/>
  <c r="AB47" i="2"/>
  <c r="AC47" i="2"/>
  <c r="AD47" i="2"/>
  <c r="AE47" i="2"/>
  <c r="AF47" i="2"/>
  <c r="AG47" i="2"/>
  <c r="AH47" i="2"/>
  <c r="AI47" i="2"/>
  <c r="AJ47" i="2"/>
  <c r="AK47" i="2"/>
  <c r="AL47" i="2"/>
  <c r="AM47" i="2"/>
  <c r="AN47" i="2"/>
  <c r="AO47" i="2"/>
  <c r="AP47" i="2"/>
  <c r="AQ47" i="2"/>
  <c r="AR47" i="2"/>
  <c r="AS47" i="2"/>
  <c r="AT47" i="2"/>
  <c r="AU47" i="2"/>
  <c r="AV47" i="2"/>
  <c r="AW47" i="2"/>
  <c r="AX47" i="2"/>
  <c r="AY47" i="2"/>
  <c r="AZ47" i="2"/>
  <c r="BA47" i="2"/>
  <c r="BB47" i="2"/>
  <c r="BC47" i="2"/>
  <c r="BD47" i="2"/>
  <c r="BE47" i="2"/>
  <c r="BF47" i="2"/>
  <c r="BG47" i="2"/>
  <c r="BH47" i="2"/>
  <c r="BI47" i="2"/>
  <c r="BJ47" i="2"/>
  <c r="BK47" i="2"/>
  <c r="BL47" i="2"/>
  <c r="BM47" i="2"/>
  <c r="BN47" i="2"/>
  <c r="BO47" i="2"/>
  <c r="BP47" i="2"/>
  <c r="BQ47" i="2"/>
  <c r="BR47" i="2"/>
  <c r="BS47" i="2"/>
  <c r="BT47" i="2"/>
  <c r="BU47" i="2"/>
  <c r="BV47" i="2"/>
  <c r="BW47" i="2"/>
  <c r="BX47" i="2"/>
  <c r="BY47" i="2"/>
  <c r="BZ47" i="2"/>
  <c r="CA47" i="2"/>
  <c r="CB47" i="2"/>
  <c r="CC47" i="2"/>
  <c r="CD47" i="2"/>
  <c r="CE47" i="2"/>
  <c r="CF47" i="2"/>
  <c r="CG47" i="2"/>
  <c r="CH47" i="2"/>
  <c r="CI47" i="2"/>
  <c r="CJ47" i="2"/>
  <c r="CK47" i="2"/>
  <c r="CL47" i="2"/>
  <c r="CM47" i="2"/>
  <c r="CN47" i="2"/>
  <c r="C48" i="2"/>
  <c r="D48" i="2"/>
  <c r="E48" i="2"/>
  <c r="F48" i="2"/>
  <c r="G48" i="2"/>
  <c r="H48" i="2"/>
  <c r="I48" i="2"/>
  <c r="J48" i="2"/>
  <c r="K48" i="2"/>
  <c r="L48" i="2"/>
  <c r="M48" i="2"/>
  <c r="N48" i="2"/>
  <c r="O48" i="2"/>
  <c r="P48" i="2"/>
  <c r="Q48" i="2"/>
  <c r="R48" i="2"/>
  <c r="S48" i="2"/>
  <c r="T48" i="2"/>
  <c r="U48" i="2"/>
  <c r="V48" i="2"/>
  <c r="W48" i="2"/>
  <c r="X48" i="2"/>
  <c r="Y48" i="2"/>
  <c r="Z48" i="2"/>
  <c r="AA48" i="2"/>
  <c r="AB48" i="2"/>
  <c r="AC48" i="2"/>
  <c r="AD48" i="2"/>
  <c r="AE48" i="2"/>
  <c r="AF48" i="2"/>
  <c r="AG48" i="2"/>
  <c r="AH48" i="2"/>
  <c r="AI48" i="2"/>
  <c r="AJ48" i="2"/>
  <c r="AK48" i="2"/>
  <c r="AL48" i="2"/>
  <c r="AM48" i="2"/>
  <c r="AN48" i="2"/>
  <c r="AO48" i="2"/>
  <c r="AP48" i="2"/>
  <c r="AQ48" i="2"/>
  <c r="AR48" i="2"/>
  <c r="AS48" i="2"/>
  <c r="AT48" i="2"/>
  <c r="AU48" i="2"/>
  <c r="AV48" i="2"/>
  <c r="AW48" i="2"/>
  <c r="AX48" i="2"/>
  <c r="AY48" i="2"/>
  <c r="AZ48" i="2"/>
  <c r="BA48" i="2"/>
  <c r="BB48" i="2"/>
  <c r="BC48" i="2"/>
  <c r="BD48" i="2"/>
  <c r="BE48" i="2"/>
  <c r="BF48" i="2"/>
  <c r="BG48" i="2"/>
  <c r="BH48" i="2"/>
  <c r="BI48" i="2"/>
  <c r="BJ48" i="2"/>
  <c r="BK48" i="2"/>
  <c r="BL48" i="2"/>
  <c r="BM48" i="2"/>
  <c r="BN48" i="2"/>
  <c r="BO48" i="2"/>
  <c r="BP48" i="2"/>
  <c r="BQ48" i="2"/>
  <c r="BR48" i="2"/>
  <c r="BS48" i="2"/>
  <c r="BT48" i="2"/>
  <c r="BU48" i="2"/>
  <c r="BV48" i="2"/>
  <c r="BW48" i="2"/>
  <c r="BX48" i="2"/>
  <c r="BY48" i="2"/>
  <c r="BZ48" i="2"/>
  <c r="CA48" i="2"/>
  <c r="CB48" i="2"/>
  <c r="CC48" i="2"/>
  <c r="CD48" i="2"/>
  <c r="CE48" i="2"/>
  <c r="CF48" i="2"/>
  <c r="CG48" i="2"/>
  <c r="CH48" i="2"/>
  <c r="CI48" i="2"/>
  <c r="CJ48" i="2"/>
  <c r="CK48" i="2"/>
  <c r="CL48" i="2"/>
  <c r="CM48" i="2"/>
  <c r="CN48" i="2"/>
  <c r="C49" i="2"/>
  <c r="D49" i="2"/>
  <c r="E49" i="2"/>
  <c r="F49" i="2"/>
  <c r="G49" i="2"/>
  <c r="H49" i="2"/>
  <c r="I49" i="2"/>
  <c r="J49" i="2"/>
  <c r="K49" i="2"/>
  <c r="L49" i="2"/>
  <c r="M49" i="2"/>
  <c r="N49" i="2"/>
  <c r="O49" i="2"/>
  <c r="P49" i="2"/>
  <c r="Q49" i="2"/>
  <c r="R49" i="2"/>
  <c r="S49" i="2"/>
  <c r="T49" i="2"/>
  <c r="U49" i="2"/>
  <c r="V49" i="2"/>
  <c r="W49" i="2"/>
  <c r="X49" i="2"/>
  <c r="Y49" i="2"/>
  <c r="Z49" i="2"/>
  <c r="AA49" i="2"/>
  <c r="AB49" i="2"/>
  <c r="AC49" i="2"/>
  <c r="AD49" i="2"/>
  <c r="AE49" i="2"/>
  <c r="AF49" i="2"/>
  <c r="AG49" i="2"/>
  <c r="AH49" i="2"/>
  <c r="AI49" i="2"/>
  <c r="AJ49" i="2"/>
  <c r="AK49" i="2"/>
  <c r="AL49" i="2"/>
  <c r="AM49" i="2"/>
  <c r="AN49" i="2"/>
  <c r="AO49" i="2"/>
  <c r="AP49" i="2"/>
  <c r="AQ49" i="2"/>
  <c r="AR49" i="2"/>
  <c r="AS49" i="2"/>
  <c r="AT49" i="2"/>
  <c r="AU49" i="2"/>
  <c r="AV49" i="2"/>
  <c r="AW49" i="2"/>
  <c r="AX49" i="2"/>
  <c r="AY49" i="2"/>
  <c r="AZ49" i="2"/>
  <c r="BA49" i="2"/>
  <c r="BB49" i="2"/>
  <c r="BC49" i="2"/>
  <c r="BD49" i="2"/>
  <c r="BE49" i="2"/>
  <c r="BF49" i="2"/>
  <c r="BG49" i="2"/>
  <c r="BH49" i="2"/>
  <c r="BI49" i="2"/>
  <c r="BJ49" i="2"/>
  <c r="BK49" i="2"/>
  <c r="BL49" i="2"/>
  <c r="BM49" i="2"/>
  <c r="BN49" i="2"/>
  <c r="BO49" i="2"/>
  <c r="BP49" i="2"/>
  <c r="BQ49" i="2"/>
  <c r="BR49" i="2"/>
  <c r="BS49" i="2"/>
  <c r="BT49" i="2"/>
  <c r="BU49" i="2"/>
  <c r="BV49" i="2"/>
  <c r="BW49" i="2"/>
  <c r="BX49" i="2"/>
  <c r="BY49" i="2"/>
  <c r="BZ49" i="2"/>
  <c r="CA49" i="2"/>
  <c r="CB49" i="2"/>
  <c r="CC49" i="2"/>
  <c r="CD49" i="2"/>
  <c r="CE49" i="2"/>
  <c r="CF49" i="2"/>
  <c r="CG49" i="2"/>
  <c r="CH49" i="2"/>
  <c r="CI49" i="2"/>
  <c r="CJ49" i="2"/>
  <c r="CK49" i="2"/>
  <c r="CL49" i="2"/>
  <c r="CM49" i="2"/>
  <c r="CN49" i="2"/>
  <c r="C50" i="2"/>
  <c r="D50" i="2"/>
  <c r="E50" i="2"/>
  <c r="F50" i="2"/>
  <c r="G50" i="2"/>
  <c r="H50" i="2"/>
  <c r="I50" i="2"/>
  <c r="J50" i="2"/>
  <c r="K50" i="2"/>
  <c r="L50" i="2"/>
  <c r="M50" i="2"/>
  <c r="N50" i="2"/>
  <c r="O50" i="2"/>
  <c r="P50" i="2"/>
  <c r="Q50" i="2"/>
  <c r="R50" i="2"/>
  <c r="S50" i="2"/>
  <c r="T50" i="2"/>
  <c r="U50" i="2"/>
  <c r="V50" i="2"/>
  <c r="W50" i="2"/>
  <c r="X50" i="2"/>
  <c r="Y50" i="2"/>
  <c r="Z50" i="2"/>
  <c r="AA50" i="2"/>
  <c r="AB50" i="2"/>
  <c r="AC50" i="2"/>
  <c r="AD50" i="2"/>
  <c r="AE50" i="2"/>
  <c r="AF50" i="2"/>
  <c r="AG50" i="2"/>
  <c r="AH50" i="2"/>
  <c r="AI50" i="2"/>
  <c r="AJ50" i="2"/>
  <c r="AK50" i="2"/>
  <c r="AL50" i="2"/>
  <c r="AM50" i="2"/>
  <c r="AN50" i="2"/>
  <c r="AO50" i="2"/>
  <c r="AP50" i="2"/>
  <c r="AQ50" i="2"/>
  <c r="AR50" i="2"/>
  <c r="AS50" i="2"/>
  <c r="AT50" i="2"/>
  <c r="AU50" i="2"/>
  <c r="AV50" i="2"/>
  <c r="AW50" i="2"/>
  <c r="AX50" i="2"/>
  <c r="AY50" i="2"/>
  <c r="AZ50" i="2"/>
  <c r="BA50" i="2"/>
  <c r="BB50" i="2"/>
  <c r="BC50" i="2"/>
  <c r="BD50" i="2"/>
  <c r="BE50" i="2"/>
  <c r="BF50" i="2"/>
  <c r="BG50" i="2"/>
  <c r="BH50" i="2"/>
  <c r="BI50" i="2"/>
  <c r="BJ50" i="2"/>
  <c r="BK50" i="2"/>
  <c r="BL50" i="2"/>
  <c r="BM50" i="2"/>
  <c r="BN50" i="2"/>
  <c r="BO50" i="2"/>
  <c r="BP50" i="2"/>
  <c r="BQ50" i="2"/>
  <c r="BR50" i="2"/>
  <c r="BS50" i="2"/>
  <c r="BT50" i="2"/>
  <c r="BU50" i="2"/>
  <c r="BV50" i="2"/>
  <c r="BW50" i="2"/>
  <c r="BX50" i="2"/>
  <c r="BY50" i="2"/>
  <c r="BZ50" i="2"/>
  <c r="CA50" i="2"/>
  <c r="CB50" i="2"/>
  <c r="CC50" i="2"/>
  <c r="CD50" i="2"/>
  <c r="CE50" i="2"/>
  <c r="CF50" i="2"/>
  <c r="CG50" i="2"/>
  <c r="CH50" i="2"/>
  <c r="CI50" i="2"/>
  <c r="CJ50" i="2"/>
  <c r="CK50" i="2"/>
  <c r="CL50" i="2"/>
  <c r="CM50" i="2"/>
  <c r="CN50" i="2"/>
  <c r="C51" i="2"/>
  <c r="D51" i="2"/>
  <c r="E51" i="2"/>
  <c r="F51" i="2"/>
  <c r="G51" i="2"/>
  <c r="H51" i="2"/>
  <c r="I51" i="2"/>
  <c r="J51" i="2"/>
  <c r="K51" i="2"/>
  <c r="L51" i="2"/>
  <c r="M51" i="2"/>
  <c r="N51" i="2"/>
  <c r="O51" i="2"/>
  <c r="P51" i="2"/>
  <c r="Q51" i="2"/>
  <c r="R51" i="2"/>
  <c r="S51" i="2"/>
  <c r="T51" i="2"/>
  <c r="U51" i="2"/>
  <c r="V51" i="2"/>
  <c r="W51" i="2"/>
  <c r="X51" i="2"/>
  <c r="Y51" i="2"/>
  <c r="Z51" i="2"/>
  <c r="AA51" i="2"/>
  <c r="AB51" i="2"/>
  <c r="AC51" i="2"/>
  <c r="AD51" i="2"/>
  <c r="AE51" i="2"/>
  <c r="AF51" i="2"/>
  <c r="AG51" i="2"/>
  <c r="AH51" i="2"/>
  <c r="AI51" i="2"/>
  <c r="AJ51" i="2"/>
  <c r="AK51" i="2"/>
  <c r="AL51" i="2"/>
  <c r="AM51" i="2"/>
  <c r="AN51" i="2"/>
  <c r="AO51" i="2"/>
  <c r="AP51" i="2"/>
  <c r="AQ51" i="2"/>
  <c r="AR51" i="2"/>
  <c r="AS51" i="2"/>
  <c r="AT51" i="2"/>
  <c r="AU51" i="2"/>
  <c r="AV51" i="2"/>
  <c r="AW51" i="2"/>
  <c r="AX51" i="2"/>
  <c r="AY51" i="2"/>
  <c r="AZ51" i="2"/>
  <c r="BA51" i="2"/>
  <c r="BB51" i="2"/>
  <c r="BC51" i="2"/>
  <c r="BD51" i="2"/>
  <c r="BE51" i="2"/>
  <c r="BF51" i="2"/>
  <c r="BG51" i="2"/>
  <c r="BH51" i="2"/>
  <c r="BI51" i="2"/>
  <c r="BJ51" i="2"/>
  <c r="BK51" i="2"/>
  <c r="BL51" i="2"/>
  <c r="BM51" i="2"/>
  <c r="BN51" i="2"/>
  <c r="BO51" i="2"/>
  <c r="BP51" i="2"/>
  <c r="BQ51" i="2"/>
  <c r="BR51" i="2"/>
  <c r="BS51" i="2"/>
  <c r="BT51" i="2"/>
  <c r="BU51" i="2"/>
  <c r="BV51" i="2"/>
  <c r="BW51" i="2"/>
  <c r="BX51" i="2"/>
  <c r="BY51" i="2"/>
  <c r="BZ51" i="2"/>
  <c r="CA51" i="2"/>
  <c r="CB51" i="2"/>
  <c r="CC51" i="2"/>
  <c r="CD51" i="2"/>
  <c r="CE51" i="2"/>
  <c r="CF51" i="2"/>
  <c r="CG51" i="2"/>
  <c r="CH51" i="2"/>
  <c r="CI51" i="2"/>
  <c r="CJ51" i="2"/>
  <c r="CK51" i="2"/>
  <c r="CL51" i="2"/>
  <c r="CM51" i="2"/>
  <c r="CN51" i="2"/>
  <c r="C52" i="2"/>
  <c r="D52" i="2"/>
  <c r="E52" i="2"/>
  <c r="F52" i="2"/>
  <c r="G52" i="2"/>
  <c r="H52" i="2"/>
  <c r="I52" i="2"/>
  <c r="J52" i="2"/>
  <c r="K52" i="2"/>
  <c r="L52" i="2"/>
  <c r="M52" i="2"/>
  <c r="N52" i="2"/>
  <c r="O52" i="2"/>
  <c r="P52" i="2"/>
  <c r="Q52" i="2"/>
  <c r="R52" i="2"/>
  <c r="S52" i="2"/>
  <c r="T52" i="2"/>
  <c r="U52" i="2"/>
  <c r="V52" i="2"/>
  <c r="W52" i="2"/>
  <c r="X52" i="2"/>
  <c r="Y52" i="2"/>
  <c r="Z52" i="2"/>
  <c r="AA52" i="2"/>
  <c r="AB52" i="2"/>
  <c r="AC52" i="2"/>
  <c r="AD52" i="2"/>
  <c r="AE52" i="2"/>
  <c r="AF52" i="2"/>
  <c r="AG52" i="2"/>
  <c r="AH52" i="2"/>
  <c r="AI52" i="2"/>
  <c r="AJ52" i="2"/>
  <c r="AK52" i="2"/>
  <c r="AL52" i="2"/>
  <c r="AM52" i="2"/>
  <c r="AN52" i="2"/>
  <c r="AO52" i="2"/>
  <c r="AP52" i="2"/>
  <c r="AQ52" i="2"/>
  <c r="AR52" i="2"/>
  <c r="AS52" i="2"/>
  <c r="AT52" i="2"/>
  <c r="AU52" i="2"/>
  <c r="AV52" i="2"/>
  <c r="AW52" i="2"/>
  <c r="AX52" i="2"/>
  <c r="AY52" i="2"/>
  <c r="AZ52" i="2"/>
  <c r="BA52" i="2"/>
  <c r="BB52" i="2"/>
  <c r="BC52" i="2"/>
  <c r="BD52" i="2"/>
  <c r="BE52" i="2"/>
  <c r="BF52" i="2"/>
  <c r="BG52" i="2"/>
  <c r="BH52" i="2"/>
  <c r="BI52" i="2"/>
  <c r="BJ52" i="2"/>
  <c r="BK52" i="2"/>
  <c r="BL52" i="2"/>
  <c r="BM52" i="2"/>
  <c r="BN52" i="2"/>
  <c r="BO52" i="2"/>
  <c r="BP52" i="2"/>
  <c r="BQ52" i="2"/>
  <c r="BR52" i="2"/>
  <c r="BS52" i="2"/>
  <c r="BT52" i="2"/>
  <c r="BU52" i="2"/>
  <c r="BV52" i="2"/>
  <c r="BW52" i="2"/>
  <c r="BX52" i="2"/>
  <c r="BY52" i="2"/>
  <c r="BZ52" i="2"/>
  <c r="CA52" i="2"/>
  <c r="CB52" i="2"/>
  <c r="CC52" i="2"/>
  <c r="CD52" i="2"/>
  <c r="CE52" i="2"/>
  <c r="CF52" i="2"/>
  <c r="CG52" i="2"/>
  <c r="CH52" i="2"/>
  <c r="CI52" i="2"/>
  <c r="CJ52" i="2"/>
  <c r="CK52" i="2"/>
  <c r="CL52" i="2"/>
  <c r="CM52" i="2"/>
  <c r="CN52" i="2"/>
  <c r="C53" i="2"/>
  <c r="D53" i="2"/>
  <c r="E53" i="2"/>
  <c r="F53" i="2"/>
  <c r="G53" i="2"/>
  <c r="H53" i="2"/>
  <c r="I53" i="2"/>
  <c r="J53" i="2"/>
  <c r="K53" i="2"/>
  <c r="L53" i="2"/>
  <c r="M53" i="2"/>
  <c r="N53" i="2"/>
  <c r="O53" i="2"/>
  <c r="P53" i="2"/>
  <c r="Q53" i="2"/>
  <c r="R53" i="2"/>
  <c r="S53" i="2"/>
  <c r="T53" i="2"/>
  <c r="U53" i="2"/>
  <c r="V53" i="2"/>
  <c r="W53" i="2"/>
  <c r="X53" i="2"/>
  <c r="Y53" i="2"/>
  <c r="Z53" i="2"/>
  <c r="AA53" i="2"/>
  <c r="AB53" i="2"/>
  <c r="AC53" i="2"/>
  <c r="AD53" i="2"/>
  <c r="AE53" i="2"/>
  <c r="AF53" i="2"/>
  <c r="AG53" i="2"/>
  <c r="AH53" i="2"/>
  <c r="AI53" i="2"/>
  <c r="AJ53" i="2"/>
  <c r="AK53" i="2"/>
  <c r="AL53" i="2"/>
  <c r="AM53" i="2"/>
  <c r="AN53" i="2"/>
  <c r="AO53" i="2"/>
  <c r="AP53" i="2"/>
  <c r="AQ53" i="2"/>
  <c r="AR53" i="2"/>
  <c r="AS53" i="2"/>
  <c r="AT53" i="2"/>
  <c r="AU53" i="2"/>
  <c r="AV53" i="2"/>
  <c r="AW53" i="2"/>
  <c r="AX53" i="2"/>
  <c r="AY53" i="2"/>
  <c r="AZ53" i="2"/>
  <c r="BA53" i="2"/>
  <c r="BB53" i="2"/>
  <c r="BC53" i="2"/>
  <c r="BD53" i="2"/>
  <c r="BE53" i="2"/>
  <c r="BF53" i="2"/>
  <c r="BG53" i="2"/>
  <c r="BH53" i="2"/>
  <c r="BI53" i="2"/>
  <c r="BJ53" i="2"/>
  <c r="BK53" i="2"/>
  <c r="BL53" i="2"/>
  <c r="BM53" i="2"/>
  <c r="BN53" i="2"/>
  <c r="BO53" i="2"/>
  <c r="BP53" i="2"/>
  <c r="BQ53" i="2"/>
  <c r="BR53" i="2"/>
  <c r="BS53" i="2"/>
  <c r="BT53" i="2"/>
  <c r="BU53" i="2"/>
  <c r="BV53" i="2"/>
  <c r="BW53" i="2"/>
  <c r="BX53" i="2"/>
  <c r="BY53" i="2"/>
  <c r="BZ53" i="2"/>
  <c r="CA53" i="2"/>
  <c r="CB53" i="2"/>
  <c r="CC53" i="2"/>
  <c r="CD53" i="2"/>
  <c r="CE53" i="2"/>
  <c r="CF53" i="2"/>
  <c r="CG53" i="2"/>
  <c r="CH53" i="2"/>
  <c r="CI53" i="2"/>
  <c r="CJ53" i="2"/>
  <c r="CK53" i="2"/>
  <c r="CL53" i="2"/>
  <c r="CM53" i="2"/>
  <c r="CN53" i="2"/>
  <c r="C54" i="2"/>
  <c r="D54" i="2"/>
  <c r="E54" i="2"/>
  <c r="F54" i="2"/>
  <c r="G54" i="2"/>
  <c r="H54" i="2"/>
  <c r="I54" i="2"/>
  <c r="J54" i="2"/>
  <c r="K54" i="2"/>
  <c r="L54" i="2"/>
  <c r="M54" i="2"/>
  <c r="N54" i="2"/>
  <c r="O54" i="2"/>
  <c r="P54" i="2"/>
  <c r="Q54" i="2"/>
  <c r="R54" i="2"/>
  <c r="S54" i="2"/>
  <c r="T54" i="2"/>
  <c r="U54" i="2"/>
  <c r="V54" i="2"/>
  <c r="W54" i="2"/>
  <c r="X54" i="2"/>
  <c r="Y54" i="2"/>
  <c r="Z54" i="2"/>
  <c r="AA54" i="2"/>
  <c r="AB54" i="2"/>
  <c r="AC54" i="2"/>
  <c r="AD54" i="2"/>
  <c r="AE54" i="2"/>
  <c r="AF54" i="2"/>
  <c r="AG54" i="2"/>
  <c r="AH54" i="2"/>
  <c r="AI54" i="2"/>
  <c r="AJ54" i="2"/>
  <c r="AK54" i="2"/>
  <c r="AL54" i="2"/>
  <c r="AM54" i="2"/>
  <c r="AN54" i="2"/>
  <c r="AO54" i="2"/>
  <c r="AP54" i="2"/>
  <c r="AQ54" i="2"/>
  <c r="AR54" i="2"/>
  <c r="AS54" i="2"/>
  <c r="AT54" i="2"/>
  <c r="AU54" i="2"/>
  <c r="AV54" i="2"/>
  <c r="AW54" i="2"/>
  <c r="AX54" i="2"/>
  <c r="AY54" i="2"/>
  <c r="AZ54" i="2"/>
  <c r="BA54" i="2"/>
  <c r="BB54" i="2"/>
  <c r="BC54" i="2"/>
  <c r="BD54" i="2"/>
  <c r="BE54" i="2"/>
  <c r="BF54" i="2"/>
  <c r="BG54" i="2"/>
  <c r="BH54" i="2"/>
  <c r="BI54" i="2"/>
  <c r="BJ54" i="2"/>
  <c r="BK54" i="2"/>
  <c r="BL54" i="2"/>
  <c r="BM54" i="2"/>
  <c r="BN54" i="2"/>
  <c r="BO54" i="2"/>
  <c r="BP54" i="2"/>
  <c r="BQ54" i="2"/>
  <c r="BR54" i="2"/>
  <c r="BS54" i="2"/>
  <c r="BT54" i="2"/>
  <c r="BU54" i="2"/>
  <c r="BV54" i="2"/>
  <c r="BW54" i="2"/>
  <c r="BX54" i="2"/>
  <c r="BY54" i="2"/>
  <c r="BZ54" i="2"/>
  <c r="CA54" i="2"/>
  <c r="CB54" i="2"/>
  <c r="CC54" i="2"/>
  <c r="CD54" i="2"/>
  <c r="CE54" i="2"/>
  <c r="CF54" i="2"/>
  <c r="CG54" i="2"/>
  <c r="CH54" i="2"/>
  <c r="CI54" i="2"/>
  <c r="CJ54" i="2"/>
  <c r="CK54" i="2"/>
  <c r="CL54" i="2"/>
  <c r="CM54" i="2"/>
  <c r="CN54" i="2"/>
  <c r="C55" i="2"/>
  <c r="D55" i="2"/>
  <c r="E55" i="2"/>
  <c r="F55" i="2"/>
  <c r="G55" i="2"/>
  <c r="H55" i="2"/>
  <c r="I55" i="2"/>
  <c r="J55" i="2"/>
  <c r="K55" i="2"/>
  <c r="L55" i="2"/>
  <c r="M55" i="2"/>
  <c r="N55" i="2"/>
  <c r="O55" i="2"/>
  <c r="P55" i="2"/>
  <c r="Q55" i="2"/>
  <c r="R55" i="2"/>
  <c r="S55" i="2"/>
  <c r="T55" i="2"/>
  <c r="U55" i="2"/>
  <c r="V55" i="2"/>
  <c r="W55" i="2"/>
  <c r="X55" i="2"/>
  <c r="Y55" i="2"/>
  <c r="Z55" i="2"/>
  <c r="AA55" i="2"/>
  <c r="AB55" i="2"/>
  <c r="AC55" i="2"/>
  <c r="AD55" i="2"/>
  <c r="AE55" i="2"/>
  <c r="AF55" i="2"/>
  <c r="AG55" i="2"/>
  <c r="AH55" i="2"/>
  <c r="AI55" i="2"/>
  <c r="AJ55" i="2"/>
  <c r="AK55" i="2"/>
  <c r="AL55" i="2"/>
  <c r="AM55" i="2"/>
  <c r="AN55" i="2"/>
  <c r="AO55" i="2"/>
  <c r="AP55" i="2"/>
  <c r="AQ55" i="2"/>
  <c r="AR55" i="2"/>
  <c r="AS55" i="2"/>
  <c r="AT55" i="2"/>
  <c r="AU55" i="2"/>
  <c r="AV55" i="2"/>
  <c r="AW55" i="2"/>
  <c r="AX55" i="2"/>
  <c r="AY55" i="2"/>
  <c r="AZ55" i="2"/>
  <c r="BA55" i="2"/>
  <c r="BB55" i="2"/>
  <c r="BC55" i="2"/>
  <c r="BD55" i="2"/>
  <c r="BE55" i="2"/>
  <c r="BF55" i="2"/>
  <c r="BG55" i="2"/>
  <c r="BH55" i="2"/>
  <c r="BI55" i="2"/>
  <c r="BJ55" i="2"/>
  <c r="BK55" i="2"/>
  <c r="BL55" i="2"/>
  <c r="BM55" i="2"/>
  <c r="BN55" i="2"/>
  <c r="BO55" i="2"/>
  <c r="BP55" i="2"/>
  <c r="BQ55" i="2"/>
  <c r="BR55" i="2"/>
  <c r="BS55" i="2"/>
  <c r="BT55" i="2"/>
  <c r="BU55" i="2"/>
  <c r="BV55" i="2"/>
  <c r="BW55" i="2"/>
  <c r="BX55" i="2"/>
  <c r="BY55" i="2"/>
  <c r="BZ55" i="2"/>
  <c r="CA55" i="2"/>
  <c r="CB55" i="2"/>
  <c r="CC55" i="2"/>
  <c r="CD55" i="2"/>
  <c r="CE55" i="2"/>
  <c r="CF55" i="2"/>
  <c r="CG55" i="2"/>
  <c r="CH55" i="2"/>
  <c r="CI55" i="2"/>
  <c r="CJ55" i="2"/>
  <c r="CK55" i="2"/>
  <c r="CL55" i="2"/>
  <c r="CM55" i="2"/>
  <c r="CN55" i="2"/>
  <c r="C56" i="2"/>
  <c r="D56" i="2"/>
  <c r="E56" i="2"/>
  <c r="F56" i="2"/>
  <c r="G56" i="2"/>
  <c r="H56" i="2"/>
  <c r="I56" i="2"/>
  <c r="J56" i="2"/>
  <c r="K56" i="2"/>
  <c r="L56" i="2"/>
  <c r="M56" i="2"/>
  <c r="N56" i="2"/>
  <c r="O56" i="2"/>
  <c r="P56" i="2"/>
  <c r="Q56" i="2"/>
  <c r="R56" i="2"/>
  <c r="S56" i="2"/>
  <c r="T56" i="2"/>
  <c r="U56" i="2"/>
  <c r="V56" i="2"/>
  <c r="W56" i="2"/>
  <c r="X56" i="2"/>
  <c r="Y56" i="2"/>
  <c r="Z56" i="2"/>
  <c r="AA56" i="2"/>
  <c r="AB56" i="2"/>
  <c r="AC56" i="2"/>
  <c r="AD56" i="2"/>
  <c r="AE56" i="2"/>
  <c r="AF56" i="2"/>
  <c r="AG56" i="2"/>
  <c r="AH56" i="2"/>
  <c r="AI56" i="2"/>
  <c r="AJ56" i="2"/>
  <c r="AK56" i="2"/>
  <c r="AL56" i="2"/>
  <c r="AM56" i="2"/>
  <c r="AN56" i="2"/>
  <c r="AO56" i="2"/>
  <c r="AP56" i="2"/>
  <c r="AQ56" i="2"/>
  <c r="AR56" i="2"/>
  <c r="AS56" i="2"/>
  <c r="AT56" i="2"/>
  <c r="AU56" i="2"/>
  <c r="AV56" i="2"/>
  <c r="AW56" i="2"/>
  <c r="AX56" i="2"/>
  <c r="AY56" i="2"/>
  <c r="AZ56" i="2"/>
  <c r="BA56" i="2"/>
  <c r="BB56" i="2"/>
  <c r="BC56" i="2"/>
  <c r="BD56" i="2"/>
  <c r="BE56" i="2"/>
  <c r="BF56" i="2"/>
  <c r="BG56" i="2"/>
  <c r="BH56" i="2"/>
  <c r="BI56" i="2"/>
  <c r="BJ56" i="2"/>
  <c r="BK56" i="2"/>
  <c r="BL56" i="2"/>
  <c r="BM56" i="2"/>
  <c r="BN56" i="2"/>
  <c r="BO56" i="2"/>
  <c r="BP56" i="2"/>
  <c r="BQ56" i="2"/>
  <c r="BR56" i="2"/>
  <c r="BS56" i="2"/>
  <c r="BT56" i="2"/>
  <c r="BU56" i="2"/>
  <c r="BV56" i="2"/>
  <c r="BW56" i="2"/>
  <c r="BX56" i="2"/>
  <c r="BY56" i="2"/>
  <c r="BZ56" i="2"/>
  <c r="CA56" i="2"/>
  <c r="CB56" i="2"/>
  <c r="CC56" i="2"/>
  <c r="CD56" i="2"/>
  <c r="CE56" i="2"/>
  <c r="CF56" i="2"/>
  <c r="CG56" i="2"/>
  <c r="CH56" i="2"/>
  <c r="CI56" i="2"/>
  <c r="CJ56" i="2"/>
  <c r="CK56" i="2"/>
  <c r="CL56" i="2"/>
  <c r="CM56" i="2"/>
  <c r="CN56" i="2"/>
  <c r="C57" i="2"/>
  <c r="D57" i="2"/>
  <c r="E57" i="2"/>
  <c r="F57" i="2"/>
  <c r="G57" i="2"/>
  <c r="H57" i="2"/>
  <c r="I57" i="2"/>
  <c r="J57" i="2"/>
  <c r="K57" i="2"/>
  <c r="L57" i="2"/>
  <c r="M57" i="2"/>
  <c r="N57" i="2"/>
  <c r="O57" i="2"/>
  <c r="P57" i="2"/>
  <c r="Q57" i="2"/>
  <c r="R57" i="2"/>
  <c r="S57" i="2"/>
  <c r="T57" i="2"/>
  <c r="U57" i="2"/>
  <c r="V57" i="2"/>
  <c r="W57" i="2"/>
  <c r="X57" i="2"/>
  <c r="Y57" i="2"/>
  <c r="Z57" i="2"/>
  <c r="AA57" i="2"/>
  <c r="AB57" i="2"/>
  <c r="AC57" i="2"/>
  <c r="AD57" i="2"/>
  <c r="AE57" i="2"/>
  <c r="AF57" i="2"/>
  <c r="AG57" i="2"/>
  <c r="AH57" i="2"/>
  <c r="AI57" i="2"/>
  <c r="AJ57" i="2"/>
  <c r="AK57" i="2"/>
  <c r="AL57" i="2"/>
  <c r="AM57" i="2"/>
  <c r="AN57" i="2"/>
  <c r="AO57" i="2"/>
  <c r="AP57" i="2"/>
  <c r="AQ57" i="2"/>
  <c r="AR57" i="2"/>
  <c r="AS57" i="2"/>
  <c r="AT57" i="2"/>
  <c r="AU57" i="2"/>
  <c r="AV57" i="2"/>
  <c r="AW57" i="2"/>
  <c r="AX57" i="2"/>
  <c r="AY57" i="2"/>
  <c r="AZ57" i="2"/>
  <c r="BA57" i="2"/>
  <c r="BB57" i="2"/>
  <c r="BC57" i="2"/>
  <c r="BD57" i="2"/>
  <c r="BE57" i="2"/>
  <c r="BF57" i="2"/>
  <c r="BG57" i="2"/>
  <c r="BH57" i="2"/>
  <c r="BI57" i="2"/>
  <c r="BJ57" i="2"/>
  <c r="BK57" i="2"/>
  <c r="BL57" i="2"/>
  <c r="BM57" i="2"/>
  <c r="BN57" i="2"/>
  <c r="BO57" i="2"/>
  <c r="BP57" i="2"/>
  <c r="BQ57" i="2"/>
  <c r="BR57" i="2"/>
  <c r="BS57" i="2"/>
  <c r="BT57" i="2"/>
  <c r="BU57" i="2"/>
  <c r="BV57" i="2"/>
  <c r="BW57" i="2"/>
  <c r="BX57" i="2"/>
  <c r="BY57" i="2"/>
  <c r="BZ57" i="2"/>
  <c r="CA57" i="2"/>
  <c r="CB57" i="2"/>
  <c r="CC57" i="2"/>
  <c r="CD57" i="2"/>
  <c r="CE57" i="2"/>
  <c r="CF57" i="2"/>
  <c r="CG57" i="2"/>
  <c r="CH57" i="2"/>
  <c r="CI57" i="2"/>
  <c r="CJ57" i="2"/>
  <c r="CK57" i="2"/>
  <c r="CL57" i="2"/>
  <c r="CM57" i="2"/>
  <c r="CN57" i="2"/>
  <c r="C58" i="2"/>
  <c r="D58" i="2"/>
  <c r="E58" i="2"/>
  <c r="F58" i="2"/>
  <c r="G58" i="2"/>
  <c r="H58" i="2"/>
  <c r="I58" i="2"/>
  <c r="J58" i="2"/>
  <c r="K58" i="2"/>
  <c r="L58" i="2"/>
  <c r="M58" i="2"/>
  <c r="N58" i="2"/>
  <c r="O58" i="2"/>
  <c r="P58" i="2"/>
  <c r="Q58" i="2"/>
  <c r="R58" i="2"/>
  <c r="S58" i="2"/>
  <c r="T58" i="2"/>
  <c r="U58" i="2"/>
  <c r="V58" i="2"/>
  <c r="W58" i="2"/>
  <c r="X58" i="2"/>
  <c r="Y58" i="2"/>
  <c r="Z58" i="2"/>
  <c r="AA58" i="2"/>
  <c r="AB58" i="2"/>
  <c r="AC58" i="2"/>
  <c r="AD58" i="2"/>
  <c r="AE58" i="2"/>
  <c r="AF58" i="2"/>
  <c r="AG58" i="2"/>
  <c r="AH58" i="2"/>
  <c r="AI58" i="2"/>
  <c r="AJ58" i="2"/>
  <c r="AK58" i="2"/>
  <c r="AL58" i="2"/>
  <c r="AM58" i="2"/>
  <c r="AN58" i="2"/>
  <c r="AO58" i="2"/>
  <c r="AP58" i="2"/>
  <c r="AQ58" i="2"/>
  <c r="AR58" i="2"/>
  <c r="AS58" i="2"/>
  <c r="AT58" i="2"/>
  <c r="AU58" i="2"/>
  <c r="AV58" i="2"/>
  <c r="AW58" i="2"/>
  <c r="AX58" i="2"/>
  <c r="AY58" i="2"/>
  <c r="AZ58" i="2"/>
  <c r="BA58" i="2"/>
  <c r="BB58" i="2"/>
  <c r="BC58" i="2"/>
  <c r="BD58" i="2"/>
  <c r="BE58" i="2"/>
  <c r="BF58" i="2"/>
  <c r="BG58" i="2"/>
  <c r="BH58" i="2"/>
  <c r="BI58" i="2"/>
  <c r="BJ58" i="2"/>
  <c r="BK58" i="2"/>
  <c r="BL58" i="2"/>
  <c r="BM58" i="2"/>
  <c r="BN58" i="2"/>
  <c r="BO58" i="2"/>
  <c r="BP58" i="2"/>
  <c r="BQ58" i="2"/>
  <c r="BR58" i="2"/>
  <c r="BS58" i="2"/>
  <c r="BT58" i="2"/>
  <c r="BU58" i="2"/>
  <c r="BV58" i="2"/>
  <c r="BW58" i="2"/>
  <c r="BX58" i="2"/>
  <c r="BY58" i="2"/>
  <c r="BZ58" i="2"/>
  <c r="CA58" i="2"/>
  <c r="CB58" i="2"/>
  <c r="CC58" i="2"/>
  <c r="CD58" i="2"/>
  <c r="CE58" i="2"/>
  <c r="CF58" i="2"/>
  <c r="CG58" i="2"/>
  <c r="CH58" i="2"/>
  <c r="CI58" i="2"/>
  <c r="CJ58" i="2"/>
  <c r="CK58" i="2"/>
  <c r="CL58" i="2"/>
  <c r="CM58" i="2"/>
  <c r="CN58" i="2"/>
  <c r="C59" i="2"/>
  <c r="D59" i="2"/>
  <c r="E59" i="2"/>
  <c r="F59" i="2"/>
  <c r="G59" i="2"/>
  <c r="H59" i="2"/>
  <c r="I59" i="2"/>
  <c r="J59" i="2"/>
  <c r="K59" i="2"/>
  <c r="L59" i="2"/>
  <c r="M59" i="2"/>
  <c r="N59" i="2"/>
  <c r="O59" i="2"/>
  <c r="P59" i="2"/>
  <c r="Q59" i="2"/>
  <c r="R59" i="2"/>
  <c r="S59" i="2"/>
  <c r="T59" i="2"/>
  <c r="U59" i="2"/>
  <c r="V59" i="2"/>
  <c r="W59" i="2"/>
  <c r="X59" i="2"/>
  <c r="Y59" i="2"/>
  <c r="Z59" i="2"/>
  <c r="AA59" i="2"/>
  <c r="AB59" i="2"/>
  <c r="AC59" i="2"/>
  <c r="AD59" i="2"/>
  <c r="AE59" i="2"/>
  <c r="AF59" i="2"/>
  <c r="AG59" i="2"/>
  <c r="AH59" i="2"/>
  <c r="AI59" i="2"/>
  <c r="AJ59" i="2"/>
  <c r="AK59" i="2"/>
  <c r="AL59" i="2"/>
  <c r="AM59" i="2"/>
  <c r="AN59" i="2"/>
  <c r="AO59" i="2"/>
  <c r="AP59" i="2"/>
  <c r="AQ59" i="2"/>
  <c r="AR59" i="2"/>
  <c r="AS59" i="2"/>
  <c r="AT59" i="2"/>
  <c r="AU59" i="2"/>
  <c r="AV59" i="2"/>
  <c r="AW59" i="2"/>
  <c r="AX59" i="2"/>
  <c r="AY59" i="2"/>
  <c r="AZ59" i="2"/>
  <c r="BA59" i="2"/>
  <c r="BB59" i="2"/>
  <c r="BC59" i="2"/>
  <c r="BD59" i="2"/>
  <c r="BE59" i="2"/>
  <c r="BF59" i="2"/>
  <c r="BG59" i="2"/>
  <c r="BH59" i="2"/>
  <c r="BI59" i="2"/>
  <c r="BJ59" i="2"/>
  <c r="BK59" i="2"/>
  <c r="BL59" i="2"/>
  <c r="BM59" i="2"/>
  <c r="BN59" i="2"/>
  <c r="BO59" i="2"/>
  <c r="BP59" i="2"/>
  <c r="BQ59" i="2"/>
  <c r="BR59" i="2"/>
  <c r="BS59" i="2"/>
  <c r="BT59" i="2"/>
  <c r="BU59" i="2"/>
  <c r="BV59" i="2"/>
  <c r="BW59" i="2"/>
  <c r="BX59" i="2"/>
  <c r="BY59" i="2"/>
  <c r="BZ59" i="2"/>
  <c r="CA59" i="2"/>
  <c r="CB59" i="2"/>
  <c r="CC59" i="2"/>
  <c r="CD59" i="2"/>
  <c r="CE59" i="2"/>
  <c r="CF59" i="2"/>
  <c r="CG59" i="2"/>
  <c r="CH59" i="2"/>
  <c r="CI59" i="2"/>
  <c r="CJ59" i="2"/>
  <c r="CK59" i="2"/>
  <c r="CL59" i="2"/>
  <c r="CM59" i="2"/>
  <c r="CN59" i="2"/>
  <c r="C60" i="2"/>
  <c r="D60" i="2"/>
  <c r="E60" i="2"/>
  <c r="F60" i="2"/>
  <c r="G60" i="2"/>
  <c r="H60" i="2"/>
  <c r="I60" i="2"/>
  <c r="J60" i="2"/>
  <c r="K60" i="2"/>
  <c r="L60" i="2"/>
  <c r="M60" i="2"/>
  <c r="N60" i="2"/>
  <c r="O60" i="2"/>
  <c r="P60" i="2"/>
  <c r="Q60" i="2"/>
  <c r="R60" i="2"/>
  <c r="S60" i="2"/>
  <c r="T60" i="2"/>
  <c r="U60" i="2"/>
  <c r="V60" i="2"/>
  <c r="W60" i="2"/>
  <c r="X60" i="2"/>
  <c r="Y60" i="2"/>
  <c r="Z60" i="2"/>
  <c r="AA60" i="2"/>
  <c r="AB60" i="2"/>
  <c r="AC60" i="2"/>
  <c r="AD60" i="2"/>
  <c r="AE60" i="2"/>
  <c r="AF60" i="2"/>
  <c r="AG60" i="2"/>
  <c r="AH60" i="2"/>
  <c r="AI60" i="2"/>
  <c r="AJ60" i="2"/>
  <c r="AK60" i="2"/>
  <c r="AL60" i="2"/>
  <c r="AM60" i="2"/>
  <c r="AN60" i="2"/>
  <c r="AO60" i="2"/>
  <c r="AP60" i="2"/>
  <c r="AQ60" i="2"/>
  <c r="AR60" i="2"/>
  <c r="AS60" i="2"/>
  <c r="AT60" i="2"/>
  <c r="AU60" i="2"/>
  <c r="AV60" i="2"/>
  <c r="AW60" i="2"/>
  <c r="AX60" i="2"/>
  <c r="AY60" i="2"/>
  <c r="AZ60" i="2"/>
  <c r="BA60" i="2"/>
  <c r="BB60" i="2"/>
  <c r="BC60" i="2"/>
  <c r="BD60" i="2"/>
  <c r="BE60" i="2"/>
  <c r="BF60" i="2"/>
  <c r="BG60" i="2"/>
  <c r="BH60" i="2"/>
  <c r="BI60" i="2"/>
  <c r="BJ60" i="2"/>
  <c r="BK60" i="2"/>
  <c r="BL60" i="2"/>
  <c r="BM60" i="2"/>
  <c r="BN60" i="2"/>
  <c r="BO60" i="2"/>
  <c r="BP60" i="2"/>
  <c r="BQ60" i="2"/>
  <c r="BR60" i="2"/>
  <c r="BS60" i="2"/>
  <c r="BT60" i="2"/>
  <c r="BU60" i="2"/>
  <c r="BV60" i="2"/>
  <c r="BW60" i="2"/>
  <c r="BX60" i="2"/>
  <c r="BY60" i="2"/>
  <c r="BZ60" i="2"/>
  <c r="CA60" i="2"/>
  <c r="CB60" i="2"/>
  <c r="CC60" i="2"/>
  <c r="CD60" i="2"/>
  <c r="CE60" i="2"/>
  <c r="CF60" i="2"/>
  <c r="CG60" i="2"/>
  <c r="CH60" i="2"/>
  <c r="CI60" i="2"/>
  <c r="CJ60" i="2"/>
  <c r="CK60" i="2"/>
  <c r="CL60" i="2"/>
  <c r="CM60" i="2"/>
  <c r="CN60" i="2"/>
  <c r="C61" i="2"/>
  <c r="D61" i="2"/>
  <c r="E61" i="2"/>
  <c r="F61" i="2"/>
  <c r="G61" i="2"/>
  <c r="H61" i="2"/>
  <c r="I61" i="2"/>
  <c r="J61" i="2"/>
  <c r="K61" i="2"/>
  <c r="L61" i="2"/>
  <c r="M61" i="2"/>
  <c r="N61" i="2"/>
  <c r="O61" i="2"/>
  <c r="P61" i="2"/>
  <c r="Q61" i="2"/>
  <c r="R61" i="2"/>
  <c r="S61" i="2"/>
  <c r="T61" i="2"/>
  <c r="U61" i="2"/>
  <c r="V61" i="2"/>
  <c r="W61" i="2"/>
  <c r="X61" i="2"/>
  <c r="Y61" i="2"/>
  <c r="Z61" i="2"/>
  <c r="AA61" i="2"/>
  <c r="AB61" i="2"/>
  <c r="AC61" i="2"/>
  <c r="AD61" i="2"/>
  <c r="AE61" i="2"/>
  <c r="AF61" i="2"/>
  <c r="AG61" i="2"/>
  <c r="AH61" i="2"/>
  <c r="AI61" i="2"/>
  <c r="AJ61" i="2"/>
  <c r="AK61" i="2"/>
  <c r="AL61" i="2"/>
  <c r="AM61" i="2"/>
  <c r="AN61" i="2"/>
  <c r="AO61" i="2"/>
  <c r="AP61" i="2"/>
  <c r="AQ61" i="2"/>
  <c r="AR61" i="2"/>
  <c r="AS61" i="2"/>
  <c r="AT61" i="2"/>
  <c r="AU61" i="2"/>
  <c r="AV61" i="2"/>
  <c r="AW61" i="2"/>
  <c r="AX61" i="2"/>
  <c r="AY61" i="2"/>
  <c r="AZ61" i="2"/>
  <c r="BA61" i="2"/>
  <c r="BB61" i="2"/>
  <c r="BC61" i="2"/>
  <c r="BD61" i="2"/>
  <c r="BE61" i="2"/>
  <c r="BF61" i="2"/>
  <c r="BG61" i="2"/>
  <c r="BH61" i="2"/>
  <c r="BI61" i="2"/>
  <c r="BJ61" i="2"/>
  <c r="BK61" i="2"/>
  <c r="BL61" i="2"/>
  <c r="BM61" i="2"/>
  <c r="BN61" i="2"/>
  <c r="BO61" i="2"/>
  <c r="BP61" i="2"/>
  <c r="BQ61" i="2"/>
  <c r="BR61" i="2"/>
  <c r="BS61" i="2"/>
  <c r="BT61" i="2"/>
  <c r="BU61" i="2"/>
  <c r="BV61" i="2"/>
  <c r="BW61" i="2"/>
  <c r="BX61" i="2"/>
  <c r="BY61" i="2"/>
  <c r="BZ61" i="2"/>
  <c r="CA61" i="2"/>
  <c r="CB61" i="2"/>
  <c r="CC61" i="2"/>
  <c r="CD61" i="2"/>
  <c r="CE61" i="2"/>
  <c r="CF61" i="2"/>
  <c r="CG61" i="2"/>
  <c r="CH61" i="2"/>
  <c r="CI61" i="2"/>
  <c r="CJ61" i="2"/>
  <c r="CK61" i="2"/>
  <c r="CL61" i="2"/>
  <c r="CM61" i="2"/>
  <c r="CN61" i="2"/>
  <c r="C62" i="2"/>
  <c r="D62" i="2"/>
  <c r="E62" i="2"/>
  <c r="F62" i="2"/>
  <c r="G62" i="2"/>
  <c r="H62" i="2"/>
  <c r="I62" i="2"/>
  <c r="J62" i="2"/>
  <c r="K62" i="2"/>
  <c r="L62" i="2"/>
  <c r="M62" i="2"/>
  <c r="N62" i="2"/>
  <c r="O62" i="2"/>
  <c r="P62" i="2"/>
  <c r="Q62" i="2"/>
  <c r="R62" i="2"/>
  <c r="S62" i="2"/>
  <c r="T62" i="2"/>
  <c r="U62" i="2"/>
  <c r="V62" i="2"/>
  <c r="W62" i="2"/>
  <c r="X62" i="2"/>
  <c r="Y62" i="2"/>
  <c r="Z62" i="2"/>
  <c r="AA62" i="2"/>
  <c r="AB62" i="2"/>
  <c r="AC62" i="2"/>
  <c r="AD62" i="2"/>
  <c r="AE62" i="2"/>
  <c r="AF62" i="2"/>
  <c r="AG62" i="2"/>
  <c r="AH62" i="2"/>
  <c r="AI62" i="2"/>
  <c r="AJ62" i="2"/>
  <c r="AK62" i="2"/>
  <c r="AL62" i="2"/>
  <c r="AM62" i="2"/>
  <c r="AN62" i="2"/>
  <c r="AO62" i="2"/>
  <c r="AP62" i="2"/>
  <c r="AQ62" i="2"/>
  <c r="AR62" i="2"/>
  <c r="AS62" i="2"/>
  <c r="AT62" i="2"/>
  <c r="AU62" i="2"/>
  <c r="AV62" i="2"/>
  <c r="AW62" i="2"/>
  <c r="AX62" i="2"/>
  <c r="AY62" i="2"/>
  <c r="AZ62" i="2"/>
  <c r="BA62" i="2"/>
  <c r="BB62" i="2"/>
  <c r="BC62" i="2"/>
  <c r="BD62" i="2"/>
  <c r="BE62" i="2"/>
  <c r="BF62" i="2"/>
  <c r="BG62" i="2"/>
  <c r="BH62" i="2"/>
  <c r="BI62" i="2"/>
  <c r="BJ62" i="2"/>
  <c r="BK62" i="2"/>
  <c r="BL62" i="2"/>
  <c r="BM62" i="2"/>
  <c r="BN62" i="2"/>
  <c r="BO62" i="2"/>
  <c r="BP62" i="2"/>
  <c r="BQ62" i="2"/>
  <c r="BR62" i="2"/>
  <c r="BS62" i="2"/>
  <c r="BT62" i="2"/>
  <c r="BU62" i="2"/>
  <c r="BV62" i="2"/>
  <c r="BW62" i="2"/>
  <c r="BX62" i="2"/>
  <c r="BY62" i="2"/>
  <c r="BZ62" i="2"/>
  <c r="CA62" i="2"/>
  <c r="CB62" i="2"/>
  <c r="CC62" i="2"/>
  <c r="CD62" i="2"/>
  <c r="CE62" i="2"/>
  <c r="CF62" i="2"/>
  <c r="CG62" i="2"/>
  <c r="CH62" i="2"/>
  <c r="CI62" i="2"/>
  <c r="CJ62" i="2"/>
  <c r="CK62" i="2"/>
  <c r="CL62" i="2"/>
  <c r="CM62" i="2"/>
  <c r="CN62" i="2"/>
  <c r="C63" i="2"/>
  <c r="D63" i="2"/>
  <c r="E63" i="2"/>
  <c r="F63" i="2"/>
  <c r="G63" i="2"/>
  <c r="H63" i="2"/>
  <c r="I63" i="2"/>
  <c r="J63" i="2"/>
  <c r="K63" i="2"/>
  <c r="L63" i="2"/>
  <c r="M63" i="2"/>
  <c r="N63" i="2"/>
  <c r="O63" i="2"/>
  <c r="P63" i="2"/>
  <c r="Q63" i="2"/>
  <c r="R63" i="2"/>
  <c r="S63" i="2"/>
  <c r="T63" i="2"/>
  <c r="U63" i="2"/>
  <c r="V63" i="2"/>
  <c r="W63" i="2"/>
  <c r="X63" i="2"/>
  <c r="Y63" i="2"/>
  <c r="Z63" i="2"/>
  <c r="AA63" i="2"/>
  <c r="AB63" i="2"/>
  <c r="AC63" i="2"/>
  <c r="AD63" i="2"/>
  <c r="AE63" i="2"/>
  <c r="AF63" i="2"/>
  <c r="AG63" i="2"/>
  <c r="AH63" i="2"/>
  <c r="AI63" i="2"/>
  <c r="AJ63" i="2"/>
  <c r="AK63" i="2"/>
  <c r="AL63" i="2"/>
  <c r="AM63" i="2"/>
  <c r="AN63" i="2"/>
  <c r="AO63" i="2"/>
  <c r="AP63" i="2"/>
  <c r="AQ63" i="2"/>
  <c r="AR63" i="2"/>
  <c r="AS63" i="2"/>
  <c r="AT63" i="2"/>
  <c r="AU63" i="2"/>
  <c r="AV63" i="2"/>
  <c r="AW63" i="2"/>
  <c r="AX63" i="2"/>
  <c r="AY63" i="2"/>
  <c r="AZ63" i="2"/>
  <c r="BA63" i="2"/>
  <c r="BB63" i="2"/>
  <c r="BC63" i="2"/>
  <c r="BD63" i="2"/>
  <c r="BE63" i="2"/>
  <c r="BF63" i="2"/>
  <c r="BG63" i="2"/>
  <c r="BH63" i="2"/>
  <c r="BI63" i="2"/>
  <c r="BJ63" i="2"/>
  <c r="BK63" i="2"/>
  <c r="BL63" i="2"/>
  <c r="BM63" i="2"/>
  <c r="BN63" i="2"/>
  <c r="BO63" i="2"/>
  <c r="BP63" i="2"/>
  <c r="BQ63" i="2"/>
  <c r="BR63" i="2"/>
  <c r="BS63" i="2"/>
  <c r="BT63" i="2"/>
  <c r="BU63" i="2"/>
  <c r="BV63" i="2"/>
  <c r="BW63" i="2"/>
  <c r="BX63" i="2"/>
  <c r="BY63" i="2"/>
  <c r="BZ63" i="2"/>
  <c r="CA63" i="2"/>
  <c r="CB63" i="2"/>
  <c r="CC63" i="2"/>
  <c r="CD63" i="2"/>
  <c r="CE63" i="2"/>
  <c r="CF63" i="2"/>
  <c r="CG63" i="2"/>
  <c r="CH63" i="2"/>
  <c r="CI63" i="2"/>
  <c r="CJ63" i="2"/>
  <c r="CK63" i="2"/>
  <c r="CL63" i="2"/>
  <c r="CM63" i="2"/>
  <c r="CN63" i="2"/>
  <c r="C64" i="2"/>
  <c r="D64" i="2"/>
  <c r="E64" i="2"/>
  <c r="F64" i="2"/>
  <c r="G64" i="2"/>
  <c r="H64" i="2"/>
  <c r="I64" i="2"/>
  <c r="J64" i="2"/>
  <c r="K64" i="2"/>
  <c r="L64" i="2"/>
  <c r="M64" i="2"/>
  <c r="N64" i="2"/>
  <c r="O64" i="2"/>
  <c r="P64" i="2"/>
  <c r="Q64" i="2"/>
  <c r="R64" i="2"/>
  <c r="S64" i="2"/>
  <c r="T64" i="2"/>
  <c r="U64" i="2"/>
  <c r="V64" i="2"/>
  <c r="W64" i="2"/>
  <c r="X64" i="2"/>
  <c r="Y64" i="2"/>
  <c r="Z64" i="2"/>
  <c r="AA64" i="2"/>
  <c r="AB64" i="2"/>
  <c r="AC64" i="2"/>
  <c r="AD64" i="2"/>
  <c r="AE64" i="2"/>
  <c r="AF64" i="2"/>
  <c r="AG64" i="2"/>
  <c r="AH64" i="2"/>
  <c r="AI64" i="2"/>
  <c r="AJ64" i="2"/>
  <c r="AK64" i="2"/>
  <c r="AL64" i="2"/>
  <c r="AM64" i="2"/>
  <c r="AN64" i="2"/>
  <c r="AO64" i="2"/>
  <c r="AP64" i="2"/>
  <c r="AQ64" i="2"/>
  <c r="AR64" i="2"/>
  <c r="AS64" i="2"/>
  <c r="AT64" i="2"/>
  <c r="AU64" i="2"/>
  <c r="AV64" i="2"/>
  <c r="AW64" i="2"/>
  <c r="AX64" i="2"/>
  <c r="AY64" i="2"/>
  <c r="AZ64" i="2"/>
  <c r="BA64" i="2"/>
  <c r="BB64" i="2"/>
  <c r="BC64" i="2"/>
  <c r="BD64" i="2"/>
  <c r="BE64" i="2"/>
  <c r="BF64" i="2"/>
  <c r="BG64" i="2"/>
  <c r="BH64" i="2"/>
  <c r="BI64" i="2"/>
  <c r="BJ64" i="2"/>
  <c r="BK64" i="2"/>
  <c r="BL64" i="2"/>
  <c r="BM64" i="2"/>
  <c r="BN64" i="2"/>
  <c r="BO64" i="2"/>
  <c r="BP64" i="2"/>
  <c r="BQ64" i="2"/>
  <c r="BR64" i="2"/>
  <c r="BS64" i="2"/>
  <c r="BT64" i="2"/>
  <c r="BU64" i="2"/>
  <c r="BV64" i="2"/>
  <c r="BW64" i="2"/>
  <c r="BX64" i="2"/>
  <c r="BY64" i="2"/>
  <c r="BZ64" i="2"/>
  <c r="CA64" i="2"/>
  <c r="CB64" i="2"/>
  <c r="CC64" i="2"/>
  <c r="CD64" i="2"/>
  <c r="CE64" i="2"/>
  <c r="CF64" i="2"/>
  <c r="CG64" i="2"/>
  <c r="CH64" i="2"/>
  <c r="CI64" i="2"/>
  <c r="CJ64" i="2"/>
  <c r="CK64" i="2"/>
  <c r="CL64" i="2"/>
  <c r="CM64" i="2"/>
  <c r="CN64" i="2"/>
  <c r="C65" i="2"/>
  <c r="D65" i="2"/>
  <c r="E65" i="2"/>
  <c r="F65" i="2"/>
  <c r="G65" i="2"/>
  <c r="H65" i="2"/>
  <c r="I65" i="2"/>
  <c r="J65" i="2"/>
  <c r="K65" i="2"/>
  <c r="L65" i="2"/>
  <c r="M65" i="2"/>
  <c r="N65" i="2"/>
  <c r="O65" i="2"/>
  <c r="P65" i="2"/>
  <c r="Q65" i="2"/>
  <c r="R65" i="2"/>
  <c r="S65" i="2"/>
  <c r="T65" i="2"/>
  <c r="U65" i="2"/>
  <c r="V65" i="2"/>
  <c r="W65" i="2"/>
  <c r="X65" i="2"/>
  <c r="Y65" i="2"/>
  <c r="Z65" i="2"/>
  <c r="AA65" i="2"/>
  <c r="AB65" i="2"/>
  <c r="AC65" i="2"/>
  <c r="AD65" i="2"/>
  <c r="AE65" i="2"/>
  <c r="AF65" i="2"/>
  <c r="AG65" i="2"/>
  <c r="AH65" i="2"/>
  <c r="AI65" i="2"/>
  <c r="AJ65" i="2"/>
  <c r="AK65" i="2"/>
  <c r="AL65" i="2"/>
  <c r="AM65" i="2"/>
  <c r="AN65" i="2"/>
  <c r="AO65" i="2"/>
  <c r="AP65" i="2"/>
  <c r="AQ65" i="2"/>
  <c r="AR65" i="2"/>
  <c r="AS65" i="2"/>
  <c r="AT65" i="2"/>
  <c r="AU65" i="2"/>
  <c r="AV65" i="2"/>
  <c r="AW65" i="2"/>
  <c r="AX65" i="2"/>
  <c r="AY65" i="2"/>
  <c r="AZ65" i="2"/>
  <c r="BA65" i="2"/>
  <c r="BB65" i="2"/>
  <c r="BC65" i="2"/>
  <c r="BD65" i="2"/>
  <c r="BE65" i="2"/>
  <c r="BF65" i="2"/>
  <c r="BG65" i="2"/>
  <c r="BH65" i="2"/>
  <c r="BI65" i="2"/>
  <c r="BJ65" i="2"/>
  <c r="BK65" i="2"/>
  <c r="BL65" i="2"/>
  <c r="BM65" i="2"/>
  <c r="BN65" i="2"/>
  <c r="BO65" i="2"/>
  <c r="BP65" i="2"/>
  <c r="BQ65" i="2"/>
  <c r="BR65" i="2"/>
  <c r="BS65" i="2"/>
  <c r="BT65" i="2"/>
  <c r="BU65" i="2"/>
  <c r="BV65" i="2"/>
  <c r="BW65" i="2"/>
  <c r="BX65" i="2"/>
  <c r="BY65" i="2"/>
  <c r="BZ65" i="2"/>
  <c r="CA65" i="2"/>
  <c r="CB65" i="2"/>
  <c r="CC65" i="2"/>
  <c r="CD65" i="2"/>
  <c r="CE65" i="2"/>
  <c r="CF65" i="2"/>
  <c r="CG65" i="2"/>
  <c r="CH65" i="2"/>
  <c r="CI65" i="2"/>
  <c r="CJ65" i="2"/>
  <c r="CK65" i="2"/>
  <c r="CL65" i="2"/>
  <c r="CM65" i="2"/>
  <c r="CN65" i="2"/>
  <c r="C66" i="2"/>
  <c r="D66" i="2"/>
  <c r="E66" i="2"/>
  <c r="F66" i="2"/>
  <c r="G66" i="2"/>
  <c r="H66" i="2"/>
  <c r="I66" i="2"/>
  <c r="J66" i="2"/>
  <c r="K66" i="2"/>
  <c r="L66" i="2"/>
  <c r="M66" i="2"/>
  <c r="N66" i="2"/>
  <c r="O66" i="2"/>
  <c r="P66" i="2"/>
  <c r="Q66" i="2"/>
  <c r="R66" i="2"/>
  <c r="S66" i="2"/>
  <c r="T66" i="2"/>
  <c r="U66" i="2"/>
  <c r="V66" i="2"/>
  <c r="W66" i="2"/>
  <c r="X66" i="2"/>
  <c r="Y66" i="2"/>
  <c r="Z66" i="2"/>
  <c r="AA66" i="2"/>
  <c r="AB66" i="2"/>
  <c r="AC66" i="2"/>
  <c r="AD66" i="2"/>
  <c r="AE66" i="2"/>
  <c r="AF66" i="2"/>
  <c r="AG66" i="2"/>
  <c r="AH66" i="2"/>
  <c r="AI66" i="2"/>
  <c r="AJ66" i="2"/>
  <c r="AK66" i="2"/>
  <c r="AL66" i="2"/>
  <c r="AM66" i="2"/>
  <c r="AN66" i="2"/>
  <c r="AO66" i="2"/>
  <c r="AP66" i="2"/>
  <c r="AQ66" i="2"/>
  <c r="AR66" i="2"/>
  <c r="AS66" i="2"/>
  <c r="AT66" i="2"/>
  <c r="AU66" i="2"/>
  <c r="AV66" i="2"/>
  <c r="AW66" i="2"/>
  <c r="AX66" i="2"/>
  <c r="AY66" i="2"/>
  <c r="AZ66" i="2"/>
  <c r="BA66" i="2"/>
  <c r="BB66" i="2"/>
  <c r="BC66" i="2"/>
  <c r="BD66" i="2"/>
  <c r="BE66" i="2"/>
  <c r="BF66" i="2"/>
  <c r="BG66" i="2"/>
  <c r="BH66" i="2"/>
  <c r="BI66" i="2"/>
  <c r="BJ66" i="2"/>
  <c r="BK66" i="2"/>
  <c r="BL66" i="2"/>
  <c r="BM66" i="2"/>
  <c r="BN66" i="2"/>
  <c r="BO66" i="2"/>
  <c r="BP66" i="2"/>
  <c r="BQ66" i="2"/>
  <c r="BR66" i="2"/>
  <c r="BS66" i="2"/>
  <c r="BT66" i="2"/>
  <c r="BU66" i="2"/>
  <c r="BV66" i="2"/>
  <c r="BW66" i="2"/>
  <c r="BX66" i="2"/>
  <c r="BY66" i="2"/>
  <c r="BZ66" i="2"/>
  <c r="CA66" i="2"/>
  <c r="CB66" i="2"/>
  <c r="CC66" i="2"/>
  <c r="CD66" i="2"/>
  <c r="CE66" i="2"/>
  <c r="CF66" i="2"/>
  <c r="CG66" i="2"/>
  <c r="CH66" i="2"/>
  <c r="CI66" i="2"/>
  <c r="CJ66" i="2"/>
  <c r="CK66" i="2"/>
  <c r="CL66" i="2"/>
  <c r="CM66" i="2"/>
  <c r="CN66" i="2"/>
  <c r="C67" i="2"/>
  <c r="D67" i="2"/>
  <c r="E67" i="2"/>
  <c r="F67" i="2"/>
  <c r="G67" i="2"/>
  <c r="H67" i="2"/>
  <c r="I67" i="2"/>
  <c r="J67" i="2"/>
  <c r="K67" i="2"/>
  <c r="L67" i="2"/>
  <c r="M67" i="2"/>
  <c r="N67" i="2"/>
  <c r="O67" i="2"/>
  <c r="P67" i="2"/>
  <c r="Q67" i="2"/>
  <c r="R67" i="2"/>
  <c r="S67" i="2"/>
  <c r="T67" i="2"/>
  <c r="U67" i="2"/>
  <c r="V67" i="2"/>
  <c r="W67" i="2"/>
  <c r="X67" i="2"/>
  <c r="Y67" i="2"/>
  <c r="Z67" i="2"/>
  <c r="AA67" i="2"/>
  <c r="AB67" i="2"/>
  <c r="AC67" i="2"/>
  <c r="AD67" i="2"/>
  <c r="AE67" i="2"/>
  <c r="AF67" i="2"/>
  <c r="AG67" i="2"/>
  <c r="AH67" i="2"/>
  <c r="AI67" i="2"/>
  <c r="AJ67" i="2"/>
  <c r="AK67" i="2"/>
  <c r="AL67" i="2"/>
  <c r="AM67" i="2"/>
  <c r="AN67" i="2"/>
  <c r="AO67" i="2"/>
  <c r="AP67" i="2"/>
  <c r="AQ67" i="2"/>
  <c r="AR67" i="2"/>
  <c r="AS67" i="2"/>
  <c r="AT67" i="2"/>
  <c r="AU67" i="2"/>
  <c r="AV67" i="2"/>
  <c r="AW67" i="2"/>
  <c r="AX67" i="2"/>
  <c r="AY67" i="2"/>
  <c r="AZ67" i="2"/>
  <c r="BA67" i="2"/>
  <c r="BB67" i="2"/>
  <c r="BC67" i="2"/>
  <c r="BD67" i="2"/>
  <c r="BE67" i="2"/>
  <c r="BF67" i="2"/>
  <c r="BG67" i="2"/>
  <c r="BH67" i="2"/>
  <c r="BI67" i="2"/>
  <c r="BJ67" i="2"/>
  <c r="BK67" i="2"/>
  <c r="BL67" i="2"/>
  <c r="BM67" i="2"/>
  <c r="BN67" i="2"/>
  <c r="BO67" i="2"/>
  <c r="BP67" i="2"/>
  <c r="BQ67" i="2"/>
  <c r="BR67" i="2"/>
  <c r="BS67" i="2"/>
  <c r="BT67" i="2"/>
  <c r="BU67" i="2"/>
  <c r="BV67" i="2"/>
  <c r="BW67" i="2"/>
  <c r="BX67" i="2"/>
  <c r="BY67" i="2"/>
  <c r="BZ67" i="2"/>
  <c r="CA67" i="2"/>
  <c r="CB67" i="2"/>
  <c r="CC67" i="2"/>
  <c r="CD67" i="2"/>
  <c r="CE67" i="2"/>
  <c r="CF67" i="2"/>
  <c r="CG67" i="2"/>
  <c r="CH67" i="2"/>
  <c r="CI67" i="2"/>
  <c r="CJ67" i="2"/>
  <c r="CK67" i="2"/>
  <c r="CL67" i="2"/>
  <c r="CM67" i="2"/>
  <c r="CN67" i="2"/>
  <c r="C3" i="2"/>
  <c r="D3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T3" i="2"/>
  <c r="U3" i="2"/>
  <c r="V3" i="2"/>
  <c r="W3" i="2"/>
  <c r="X3" i="2"/>
  <c r="Y3" i="2"/>
  <c r="Z3" i="2"/>
  <c r="AA3" i="2"/>
  <c r="AB3" i="2"/>
  <c r="AC3" i="2"/>
  <c r="AD3" i="2"/>
  <c r="AE3" i="2"/>
  <c r="AF3" i="2"/>
  <c r="AG3" i="2"/>
  <c r="AH3" i="2"/>
  <c r="AI3" i="2"/>
  <c r="AJ3" i="2"/>
  <c r="AK3" i="2"/>
  <c r="AL3" i="2"/>
  <c r="AM3" i="2"/>
  <c r="AN3" i="2"/>
  <c r="AO3" i="2"/>
  <c r="AP3" i="2"/>
  <c r="AQ3" i="2"/>
  <c r="AR3" i="2"/>
  <c r="AS3" i="2"/>
  <c r="AT3" i="2"/>
  <c r="AU3" i="2"/>
  <c r="AV3" i="2"/>
  <c r="AW3" i="2"/>
  <c r="AX3" i="2"/>
  <c r="AY3" i="2"/>
  <c r="AZ3" i="2"/>
  <c r="BA3" i="2"/>
  <c r="BB3" i="2"/>
  <c r="BC3" i="2"/>
  <c r="BD3" i="2"/>
  <c r="BE3" i="2"/>
  <c r="BF3" i="2"/>
  <c r="BG3" i="2"/>
  <c r="BH3" i="2"/>
  <c r="BI3" i="2"/>
  <c r="BJ3" i="2"/>
  <c r="BK3" i="2"/>
  <c r="BL3" i="2"/>
  <c r="BM3" i="2"/>
  <c r="BN3" i="2"/>
  <c r="BO3" i="2"/>
  <c r="BP3" i="2"/>
  <c r="BQ3" i="2"/>
  <c r="BR3" i="2"/>
  <c r="BS3" i="2"/>
  <c r="BT3" i="2"/>
  <c r="BU3" i="2"/>
  <c r="BV3" i="2"/>
  <c r="BW3" i="2"/>
  <c r="BX3" i="2"/>
  <c r="BY3" i="2"/>
  <c r="BZ3" i="2"/>
  <c r="CA3" i="2"/>
  <c r="CB3" i="2"/>
  <c r="CC3" i="2"/>
  <c r="CD3" i="2"/>
  <c r="CE3" i="2"/>
  <c r="CF3" i="2"/>
  <c r="CG3" i="2"/>
  <c r="CH3" i="2"/>
  <c r="CI3" i="2"/>
  <c r="CJ3" i="2"/>
  <c r="CK3" i="2"/>
  <c r="CL3" i="2"/>
  <c r="CM3" i="2"/>
  <c r="CN3" i="2"/>
  <c r="B3" i="2"/>
  <c r="F6" i="4"/>
  <c r="F5" i="4"/>
  <c r="E7" i="4"/>
  <c r="E8" i="4"/>
  <c r="F7" i="4"/>
  <c r="G10" i="4"/>
  <c r="D10" i="4"/>
  <c r="D6" i="4"/>
  <c r="D9" i="4"/>
  <c r="F4" i="4"/>
  <c r="G4" i="4"/>
  <c r="G13" i="4"/>
  <c r="G7" i="4"/>
  <c r="E5" i="4"/>
  <c r="G8" i="4"/>
  <c r="D13" i="4"/>
  <c r="F13" i="4"/>
  <c r="E6" i="4"/>
  <c r="D4" i="4"/>
  <c r="D7" i="4"/>
  <c r="G12" i="4"/>
  <c r="D5" i="4"/>
  <c r="F9" i="4"/>
  <c r="E4" i="4"/>
  <c r="D12" i="4"/>
  <c r="C2" i="4"/>
  <c r="G9" i="4"/>
  <c r="E12" i="4"/>
  <c r="F10" i="4"/>
  <c r="E11" i="4"/>
  <c r="F12" i="4"/>
  <c r="E13" i="4"/>
  <c r="G5" i="4"/>
  <c r="G11" i="4"/>
  <c r="D8" i="4"/>
  <c r="F8" i="4"/>
  <c r="G6" i="4"/>
  <c r="E1" i="4"/>
  <c r="F11" i="4"/>
  <c r="E10" i="4"/>
  <c r="D11" i="4"/>
  <c r="E9" i="4"/>
</calcChain>
</file>

<file path=xl/sharedStrings.xml><?xml version="1.0" encoding="utf-8"?>
<sst xmlns="http://schemas.openxmlformats.org/spreadsheetml/2006/main" count="59" uniqueCount="30">
  <si>
    <t>updates</t>
  </si>
  <si>
    <t>bidSize</t>
  </si>
  <si>
    <t>bid</t>
  </si>
  <si>
    <t>ask</t>
  </si>
  <si>
    <t>askSize</t>
  </si>
  <si>
    <t>row</t>
  </si>
  <si>
    <t>product row:</t>
  </si>
  <si>
    <t>tick</t>
  </si>
  <si>
    <t>stepSize</t>
  </si>
  <si>
    <t>internalAccount</t>
  </si>
  <si>
    <t>downMove</t>
  </si>
  <si>
    <t>tradeProductIds</t>
  </si>
  <si>
    <t>strategyClass</t>
  </si>
  <si>
    <t>upMove</t>
  </si>
  <si>
    <t>PriceCheck</t>
  </si>
  <si>
    <t>OANDA_EURUSD</t>
  </si>
  <si>
    <t>org.yats.trader.examples.strategies.PriceCheck</t>
  </si>
  <si>
    <t>lockStrategy</t>
  </si>
  <si>
    <t>startStrategy</t>
  </si>
  <si>
    <t>PC4</t>
  </si>
  <si>
    <t>lastBigChange</t>
  </si>
  <si>
    <t>timestamp</t>
  </si>
  <si>
    <t>sizeBID0</t>
  </si>
  <si>
    <t>priceBID0</t>
  </si>
  <si>
    <t>sizeASK0</t>
  </si>
  <si>
    <t>priceASK0</t>
  </si>
  <si>
    <t>PC6</t>
  </si>
  <si>
    <t>p7</t>
  </si>
  <si>
    <t>OANDA_EURUSD, 1@1.29567 | 1@1.2958  20140917T150927.887Z</t>
  </si>
  <si>
    <t>2014-09-17T15:11:48.171Z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</si>
</sst>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yyyy\-mm\-dd\ h:mm:ss"/>
    <numFmt numFmtId="165" formatCode="0.0000;\-0;;@"/>
    <numFmt numFmtId="166" formatCode="0.00;\-0;;@"/>
  </numFmts>
  <fonts count="11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sz val="11"/>
      <color theme="6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339933"/>
      <name val="Calibri"/>
      <family val="2"/>
      <scheme val="minor"/>
    </font>
    <font>
      <sz val="11"/>
      <color theme="7" tint="-0.249977111117893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0" borderId="0" xfId="0" applyFont="1" applyAlignment="1">
      <alignment horizontal="center" vertical="center"/>
    </xf>
    <xf numFmtId="164" fontId="0" fillId="0" borderId="0" xfId="0" applyNumberFormat="1"/>
    <xf numFmtId="0" fontId="0" fillId="0" borderId="0" xfId="0" applyAlignment="1">
      <alignment horizontal="center"/>
    </xf>
    <xf numFmtId="0" fontId="10" fillId="0" borderId="0" xfId="0" applyFon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9" fillId="0" borderId="3" xfId="0" applyFont="1" applyBorder="1"/>
    <xf numFmtId="165" fontId="0" fillId="0" borderId="2" xfId="0" applyNumberFormat="1" applyBorder="1" applyAlignment="1">
      <alignment horizontal="center"/>
    </xf>
    <xf numFmtId="166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285750</xdr:colOff>
          <xdr:row>2</xdr:row>
          <xdr:rowOff>114300</xdr:rowOff>
        </xdr:from>
        <xdr:to>
          <xdr:col>0</xdr:col>
          <xdr:colOff>828675</xdr:colOff>
          <xdr:row>3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G13"/>
  <sheetViews>
    <sheetView workbookViewId="0">
      <selection activeCell="C2" sqref="C2"/>
    </sheetView>
  </sheetViews>
  <sheetFormatPr defaultRowHeight="15" x14ac:dyDescent="0.25"/>
  <cols>
    <col min="2" max="2" width="11.7109375" bestFit="1" customWidth="1"/>
    <col min="3" max="3" width="17.42578125" bestFit="1" customWidth="1"/>
  </cols>
  <sheetData>
    <row r="1" spans="2:7" x14ac:dyDescent="0.25">
      <c r="B1" s="14" t="s">
        <v>6</v>
      </c>
      <c r="C1" s="12">
        <v>10</v>
      </c>
      <c r="E1" s="1" t="e">
        <f ca="1">INDIRECT("PriceData!b"&amp;$C$1)</f>
        <v>#REF!</v>
      </c>
    </row>
    <row r="2" spans="2:7" x14ac:dyDescent="0.25">
      <c r="C2" s="14" t="e">
        <f ca="1">INDIRECT("PriceData!A"&amp;$C$1)</f>
        <v>#REF!</v>
      </c>
    </row>
    <row r="3" spans="2:7" x14ac:dyDescent="0.25">
      <c r="C3" s="13" t="s">
        <v>5</v>
      </c>
      <c r="D3" s="15" t="s">
        <v>1</v>
      </c>
      <c r="E3" s="16" t="s">
        <v>2</v>
      </c>
      <c r="F3" s="15" t="s">
        <v>3</v>
      </c>
      <c r="G3" s="15" t="s">
        <v>4</v>
      </c>
    </row>
    <row r="4" spans="2:7" x14ac:dyDescent="0.25">
      <c r="C4" s="13">
        <v>0</v>
      </c>
      <c r="D4" s="18" t="e">
        <f ca="1">INDIRECT("PriceData!c"&amp;$C$1)</f>
        <v>#REF!</v>
      </c>
      <c r="E4" s="17" t="e">
        <f ca="1">INDIRECT("PriceData!d"&amp;C1)</f>
        <v>#REF!</v>
      </c>
      <c r="F4" s="19" t="e">
        <f ca="1">INDIRECT("PriceData!f"&amp;C1)</f>
        <v>#REF!</v>
      </c>
      <c r="G4" s="18" t="e">
        <f ca="1">INDIRECT("PriceData!e"&amp;C1)</f>
        <v>#REF!</v>
      </c>
    </row>
    <row r="5" spans="2:7" x14ac:dyDescent="0.25">
      <c r="C5" s="13">
        <v>1</v>
      </c>
      <c r="D5" s="18" t="e">
        <f ca="1">INDIRECT("PriceData!g"&amp;C1)</f>
        <v>#REF!</v>
      </c>
      <c r="E5" s="17" t="e">
        <f ca="1">INDIRECT("PriceData!h"&amp;C1)</f>
        <v>#REF!</v>
      </c>
      <c r="F5" s="19" t="e">
        <f ca="1">INDIRECT("PriceData!j"&amp;C1)</f>
        <v>#REF!</v>
      </c>
      <c r="G5" s="18" t="e">
        <f ca="1">INDIRECT("PriceData!i"&amp;C1)</f>
        <v>#REF!</v>
      </c>
    </row>
    <row r="6" spans="2:7" x14ac:dyDescent="0.25">
      <c r="C6" s="13">
        <v>2</v>
      </c>
      <c r="D6" s="18" t="e">
        <f ca="1">INDIRECT("PriceData!k"&amp;C1)</f>
        <v>#REF!</v>
      </c>
      <c r="E6" s="17" t="e">
        <f ca="1">INDIRECT("PriceData!l"&amp;C1)</f>
        <v>#REF!</v>
      </c>
      <c r="F6" s="19" t="e">
        <f ca="1">INDIRECT("PriceData!n"&amp;C1)</f>
        <v>#REF!</v>
      </c>
      <c r="G6" s="18" t="e">
        <f ca="1">INDIRECT("PriceData!m"&amp;C1)</f>
        <v>#REF!</v>
      </c>
    </row>
    <row r="7" spans="2:7" x14ac:dyDescent="0.25">
      <c r="C7" s="13">
        <v>3</v>
      </c>
      <c r="D7" s="18" t="e">
        <f ca="1">INDIRECT("PriceData!o"&amp;C1)</f>
        <v>#REF!</v>
      </c>
      <c r="E7" s="17" t="e">
        <f ca="1">INDIRECT("PriceData!p"&amp;C1)</f>
        <v>#REF!</v>
      </c>
      <c r="F7" s="19" t="e">
        <f ca="1">INDIRECT("PriceData!r"&amp;C1)</f>
        <v>#REF!</v>
      </c>
      <c r="G7" s="18" t="e">
        <f ca="1">INDIRECT("PriceData!q"&amp;C1)</f>
        <v>#REF!</v>
      </c>
    </row>
    <row r="8" spans="2:7" x14ac:dyDescent="0.25">
      <c r="C8" s="13">
        <v>4</v>
      </c>
      <c r="D8" s="18" t="e">
        <f ca="1">INDIRECT("PriceData!s"&amp;$C$1)</f>
        <v>#REF!</v>
      </c>
      <c r="E8" s="17" t="e">
        <f ca="1">INDIRECT("PriceData!t"&amp;$C$1)</f>
        <v>#REF!</v>
      </c>
      <c r="F8" s="19" t="e">
        <f ca="1">INDIRECT("PriceData!v"&amp;$C$1)</f>
        <v>#REF!</v>
      </c>
      <c r="G8" s="18" t="e">
        <f ca="1">INDIRECT("PriceData!u"&amp;$C$1)</f>
        <v>#REF!</v>
      </c>
    </row>
    <row r="9" spans="2:7" x14ac:dyDescent="0.25">
      <c r="C9" s="13">
        <v>5</v>
      </c>
      <c r="D9" s="18" t="e">
        <f ca="1">INDIRECT("PriceData!w"&amp;$C$1)</f>
        <v>#REF!</v>
      </c>
      <c r="E9" s="17" t="e">
        <f ca="1">INDIRECT("PriceData!x"&amp;$C$1)</f>
        <v>#REF!</v>
      </c>
      <c r="F9" s="19" t="e">
        <f ca="1">INDIRECT("PriceData!z"&amp;$C$1)</f>
        <v>#REF!</v>
      </c>
      <c r="G9" s="18" t="e">
        <f ca="1">INDIRECT("PriceData!y"&amp;$C$1)</f>
        <v>#REF!</v>
      </c>
    </row>
    <row r="10" spans="2:7" x14ac:dyDescent="0.25">
      <c r="C10" s="13">
        <v>6</v>
      </c>
      <c r="D10" s="18" t="e">
        <f ca="1">INDIRECT("PriceData!aa"&amp;$C$1)</f>
        <v>#REF!</v>
      </c>
      <c r="E10" s="17" t="e">
        <f ca="1">INDIRECT("PriceData!ab"&amp;$C$1)</f>
        <v>#REF!</v>
      </c>
      <c r="F10" s="19" t="e">
        <f ca="1">INDIRECT("PriceData!ad"&amp;$C$1)</f>
        <v>#REF!</v>
      </c>
      <c r="G10" s="18" t="e">
        <f ca="1">INDIRECT("PriceData!ac"&amp;$C$1)</f>
        <v>#REF!</v>
      </c>
    </row>
    <row r="11" spans="2:7" x14ac:dyDescent="0.25">
      <c r="C11" s="13">
        <v>7</v>
      </c>
      <c r="D11" s="18" t="e">
        <f ca="1">INDIRECT("PriceData!ae"&amp;$C$1)</f>
        <v>#REF!</v>
      </c>
      <c r="E11" s="17" t="e">
        <f ca="1">INDIRECT("PriceData!af"&amp;$C$1)</f>
        <v>#REF!</v>
      </c>
      <c r="F11" s="19" t="e">
        <f ca="1">INDIRECT("PriceData!ah"&amp;$C$1)</f>
        <v>#REF!</v>
      </c>
      <c r="G11" s="18" t="e">
        <f ca="1">INDIRECT("PriceData!ag"&amp;$C$1)</f>
        <v>#REF!</v>
      </c>
    </row>
    <row r="12" spans="2:7" x14ac:dyDescent="0.25">
      <c r="C12" s="13">
        <v>8</v>
      </c>
      <c r="D12" s="18" t="e">
        <f ca="1">INDIRECT("PriceData!ai"&amp;$C$1)</f>
        <v>#REF!</v>
      </c>
      <c r="E12" s="17" t="e">
        <f ca="1">INDIRECT("PriceData!aj"&amp;$C$1)</f>
        <v>#REF!</v>
      </c>
      <c r="F12" s="19" t="e">
        <f ca="1">INDIRECT("PriceData!al"&amp;$C$1)</f>
        <v>#REF!</v>
      </c>
      <c r="G12" s="18" t="e">
        <f ca="1">INDIRECT("PriceData!ak"&amp;$C$1)</f>
        <v>#REF!</v>
      </c>
    </row>
    <row r="13" spans="2:7" x14ac:dyDescent="0.25">
      <c r="C13" s="13">
        <v>9</v>
      </c>
      <c r="D13" s="18" t="e">
        <f ca="1">INDIRECT("PriceData!am"&amp;$C$1)</f>
        <v>#REF!</v>
      </c>
      <c r="E13" s="17" t="e">
        <f ca="1">INDIRECT("PriceData!an"&amp;$C$1)</f>
        <v>#REF!</v>
      </c>
      <c r="F13" s="19" t="e">
        <f ca="1">INDIRECT("PriceData!ap"&amp;$C$1)</f>
        <v>#REF!</v>
      </c>
      <c r="G13" s="18" t="e">
        <f ca="1">INDIRECT("PriceData!ao"&amp;$C$1)</f>
        <v>#REF!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N67"/>
  <sheetViews>
    <sheetView workbookViewId="0">
      <selection activeCell="E9" sqref="E9"/>
    </sheetView>
  </sheetViews>
  <sheetFormatPr defaultRowHeight="15" x14ac:dyDescent="0.25"/>
  <cols>
    <col min="1" max="1" width="17.28515625" style="1" bestFit="1" customWidth="1"/>
    <col min="2" max="2" width="15.85546875" bestFit="1" customWidth="1"/>
    <col min="3" max="3" width="11.140625" bestFit="1" customWidth="1"/>
    <col min="4" max="4" width="9.7109375" bestFit="1" customWidth="1"/>
    <col min="5" max="5" width="11.42578125" bestFit="1" customWidth="1"/>
    <col min="6" max="6" width="10" bestFit="1" customWidth="1"/>
    <col min="7" max="7" width="11.140625" bestFit="1" customWidth="1"/>
    <col min="8" max="8" width="9.7109375" bestFit="1" customWidth="1"/>
    <col min="9" max="9" width="11.28515625" bestFit="1" customWidth="1"/>
    <col min="10" max="10" width="10" bestFit="1" customWidth="1"/>
    <col min="11" max="11" width="11.140625" bestFit="1" customWidth="1"/>
    <col min="12" max="12" width="9.7109375" bestFit="1" customWidth="1"/>
    <col min="13" max="13" width="11.28515625" bestFit="1" customWidth="1"/>
    <col min="14" max="14" width="10" bestFit="1" customWidth="1"/>
    <col min="15" max="15" width="11.140625" bestFit="1" customWidth="1"/>
    <col min="16" max="16" width="9.7109375" bestFit="1" customWidth="1"/>
    <col min="17" max="17" width="11.42578125" bestFit="1" customWidth="1"/>
    <col min="18" max="18" width="10" bestFit="1" customWidth="1"/>
    <col min="19" max="19" width="11.140625" bestFit="1" customWidth="1"/>
    <col min="20" max="20" width="9.7109375" bestFit="1" customWidth="1"/>
    <col min="21" max="21" width="11.42578125" bestFit="1" customWidth="1"/>
    <col min="22" max="22" width="10" bestFit="1" customWidth="1"/>
    <col min="23" max="23" width="11.140625" bestFit="1" customWidth="1"/>
    <col min="24" max="24" width="9.7109375" bestFit="1" customWidth="1"/>
    <col min="25" max="25" width="11.28515625" bestFit="1" customWidth="1"/>
    <col min="26" max="26" width="10" bestFit="1" customWidth="1"/>
    <col min="27" max="27" width="11.140625" bestFit="1" customWidth="1"/>
    <col min="28" max="28" width="9.7109375" bestFit="1" customWidth="1"/>
    <col min="29" max="29" width="11.42578125" bestFit="1" customWidth="1"/>
    <col min="30" max="30" width="10" bestFit="1" customWidth="1"/>
    <col min="31" max="31" width="11.140625" bestFit="1" customWidth="1"/>
    <col min="32" max="32" width="9.7109375" bestFit="1" customWidth="1"/>
    <col min="33" max="33" width="11.42578125" bestFit="1" customWidth="1"/>
    <col min="34" max="34" width="10" bestFit="1" customWidth="1"/>
    <col min="35" max="35" width="11.140625" bestFit="1" customWidth="1"/>
    <col min="36" max="36" width="9.7109375" bestFit="1" customWidth="1"/>
    <col min="37" max="37" width="11.42578125" bestFit="1" customWidth="1"/>
    <col min="38" max="38" width="10" bestFit="1" customWidth="1"/>
    <col min="39" max="39" width="11.140625" bestFit="1" customWidth="1"/>
    <col min="40" max="40" width="9.7109375" bestFit="1" customWidth="1"/>
    <col min="41" max="41" width="11.28515625" bestFit="1" customWidth="1"/>
    <col min="42" max="42" width="10" bestFit="1" customWidth="1"/>
    <col min="43" max="92" width="2" bestFit="1" customWidth="1"/>
  </cols>
  <sheetData>
    <row r="1" spans="1:92" s="1" customFormat="1" x14ac:dyDescent="0.25">
      <c r="A1" s="11">
        <v>41899.633194444446</v>
      </c>
    </row>
    <row r="2" spans="1:92" s="1" customFormat="1" x14ac:dyDescent="0.25">
      <c r="A2" s="11"/>
      <c r="B2" s="1" t="s">
        <v>0</v>
      </c>
      <c r="C2" s="1">
        <v>7</v>
      </c>
      <c r="D2" s="1">
        <v>381</v>
      </c>
      <c r="E2" s="1">
        <v>7</v>
      </c>
      <c r="F2" s="1">
        <v>375</v>
      </c>
      <c r="G2" s="1">
        <v>5</v>
      </c>
      <c r="H2" s="1">
        <v>13</v>
      </c>
      <c r="I2" s="1">
        <v>4</v>
      </c>
      <c r="J2" s="1">
        <v>13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>
        <v>0</v>
      </c>
      <c r="CD2" s="1">
        <v>0</v>
      </c>
      <c r="CE2" s="1">
        <v>0</v>
      </c>
      <c r="CF2" s="1">
        <v>0</v>
      </c>
      <c r="CG2" s="1">
        <v>0</v>
      </c>
      <c r="CH2" s="1">
        <v>0</v>
      </c>
      <c r="CI2" s="1">
        <v>0</v>
      </c>
      <c r="CJ2" s="1">
        <v>0</v>
      </c>
      <c r="CK2" s="1">
        <v>0</v>
      </c>
      <c r="CL2" s="1">
        <v>0</v>
      </c>
      <c r="CM2" s="1">
        <v>0</v>
      </c>
      <c r="CN2" s="1">
        <v>0</v>
      </c>
    </row>
    <row r="3" spans="1:92" x14ac:dyDescent="0.25">
      <c r="B3" t="str">
        <f>IF(ISBLANK(Prices!A1),"",Prices!A1)</f>
        <v/>
      </c>
      <c r="C3" s="1" t="str">
        <f>IF(ISBLANK(Prices!C1),"",Prices!C1)</f>
        <v>sizeBID0</v>
      </c>
      <c r="D3" s="1" t="str">
        <f>IF(ISBLANK(Prices!D1),"",Prices!D1)</f>
        <v>priceBID0</v>
      </c>
      <c r="E3" s="1" t="str">
        <f>IF(ISBLANK(Prices!E1),"",Prices!E1)</f>
        <v>sizeASK0</v>
      </c>
      <c r="F3" s="1" t="str">
        <f>IF(ISBLANK(Prices!F1),"",Prices!F1)</f>
        <v>priceASK0</v>
      </c>
      <c r="G3" s="1" t="str">
        <f>IF(ISBLANK(Prices!G1),"",Prices!G1)</f>
        <v/>
      </c>
      <c r="H3" s="1" t="str">
        <f>IF(ISBLANK(Prices!H1),"",Prices!H1)</f>
        <v/>
      </c>
      <c r="I3" s="1" t="str">
        <f>IF(ISBLANK(Prices!I1),"",Prices!I1)</f>
        <v/>
      </c>
      <c r="J3" s="1" t="str">
        <f>IF(ISBLANK(Prices!J1),"",Prices!J1)</f>
        <v/>
      </c>
      <c r="K3" s="1" t="str">
        <f>IF(ISBLANK(Prices!K1),"",Prices!K1)</f>
        <v/>
      </c>
      <c r="L3" s="1" t="str">
        <f>IF(ISBLANK(Prices!L1),"",Prices!L1)</f>
        <v/>
      </c>
      <c r="M3" s="1" t="str">
        <f>IF(ISBLANK(Prices!M1),"",Prices!M1)</f>
        <v/>
      </c>
      <c r="N3" s="1" t="str">
        <f>IF(ISBLANK(Prices!N1),"",Prices!N1)</f>
        <v/>
      </c>
      <c r="O3" s="1" t="str">
        <f>IF(ISBLANK(Prices!O1),"",Prices!O1)</f>
        <v/>
      </c>
      <c r="P3" s="1" t="str">
        <f>IF(ISBLANK(Prices!P1),"",Prices!P1)</f>
        <v/>
      </c>
      <c r="Q3" s="1" t="str">
        <f>IF(ISBLANK(Prices!Q1),"",Prices!Q1)</f>
        <v/>
      </c>
      <c r="R3" s="1" t="str">
        <f>IF(ISBLANK(Prices!R1),"",Prices!R1)</f>
        <v/>
      </c>
      <c r="S3" s="1" t="str">
        <f>IF(ISBLANK(Prices!S1),"",Prices!S1)</f>
        <v/>
      </c>
      <c r="T3" s="1" t="str">
        <f>IF(ISBLANK(Prices!T1),"",Prices!T1)</f>
        <v/>
      </c>
      <c r="U3" s="1" t="str">
        <f>IF(ISBLANK(Prices!U1),"",Prices!U1)</f>
        <v/>
      </c>
      <c r="V3" s="1" t="str">
        <f>IF(ISBLANK(Prices!V1),"",Prices!V1)</f>
        <v/>
      </c>
      <c r="W3" s="1" t="str">
        <f>IF(ISBLANK(Prices!W1),"",Prices!W1)</f>
        <v/>
      </c>
      <c r="X3" s="1" t="str">
        <f>IF(ISBLANK(Prices!X1),"",Prices!X1)</f>
        <v/>
      </c>
      <c r="Y3" s="1" t="str">
        <f>IF(ISBLANK(Prices!Y1),"",Prices!Y1)</f>
        <v/>
      </c>
      <c r="Z3" s="1" t="str">
        <f>IF(ISBLANK(Prices!Z1),"",Prices!Z1)</f>
        <v/>
      </c>
      <c r="AA3" s="1" t="str">
        <f>IF(ISBLANK(Prices!AA1),"",Prices!AA1)</f>
        <v/>
      </c>
      <c r="AB3" s="1" t="str">
        <f>IF(ISBLANK(Prices!AB1),"",Prices!AB1)</f>
        <v/>
      </c>
      <c r="AC3" s="1" t="str">
        <f>IF(ISBLANK(Prices!AC1),"",Prices!AC1)</f>
        <v/>
      </c>
      <c r="AD3" s="1" t="str">
        <f>IF(ISBLANK(Prices!AD1),"",Prices!AD1)</f>
        <v/>
      </c>
      <c r="AE3" s="1" t="str">
        <f>IF(ISBLANK(Prices!AE1),"",Prices!AE1)</f>
        <v/>
      </c>
      <c r="AF3" s="1" t="str">
        <f>IF(ISBLANK(Prices!AF1),"",Prices!AF1)</f>
        <v/>
      </c>
      <c r="AG3" s="1" t="str">
        <f>IF(ISBLANK(Prices!AG1),"",Prices!AG1)</f>
        <v/>
      </c>
      <c r="AH3" s="1" t="str">
        <f>IF(ISBLANK(Prices!AH1),"",Prices!AH1)</f>
        <v/>
      </c>
      <c r="AI3" s="1" t="str">
        <f>IF(ISBLANK(Prices!AI1),"",Prices!AI1)</f>
        <v/>
      </c>
      <c r="AJ3" s="1" t="str">
        <f>IF(ISBLANK(Prices!AJ1),"",Prices!AJ1)</f>
        <v/>
      </c>
      <c r="AK3" s="1" t="str">
        <f>IF(ISBLANK(Prices!AK1),"",Prices!AK1)</f>
        <v/>
      </c>
      <c r="AL3" s="1" t="str">
        <f>IF(ISBLANK(Prices!AL1),"",Prices!AL1)</f>
        <v/>
      </c>
      <c r="AM3" s="1" t="str">
        <f>IF(ISBLANK(Prices!AM1),"",Prices!AM1)</f>
        <v/>
      </c>
      <c r="AN3" s="1" t="str">
        <f>IF(ISBLANK(Prices!AN1),"",Prices!AN1)</f>
        <v/>
      </c>
      <c r="AO3" s="1" t="str">
        <f>IF(ISBLANK(Prices!AO1),"",Prices!AO1)</f>
        <v/>
      </c>
      <c r="AP3" s="1" t="str">
        <f>IF(ISBLANK(Prices!AP1),"",Prices!AP1)</f>
        <v/>
      </c>
      <c r="AQ3" s="1" t="str">
        <f>IF(ISBLANK(Prices!AQ1),"",Prices!AQ1)</f>
        <v/>
      </c>
      <c r="AR3" s="1" t="str">
        <f>IF(ISBLANK(Prices!AR1),"",Prices!AR1)</f>
        <v/>
      </c>
      <c r="AS3" s="1" t="str">
        <f>IF(ISBLANK(Prices!AS1),"",Prices!AS1)</f>
        <v/>
      </c>
      <c r="AT3" s="1" t="str">
        <f>IF(ISBLANK(Prices!AT1),"",Prices!AT1)</f>
        <v/>
      </c>
      <c r="AU3" s="1" t="str">
        <f>IF(ISBLANK(Prices!AU1),"",Prices!AU1)</f>
        <v/>
      </c>
      <c r="AV3" s="1" t="str">
        <f>IF(ISBLANK(Prices!AV1),"",Prices!AV1)</f>
        <v/>
      </c>
      <c r="AW3" s="1" t="str">
        <f>IF(ISBLANK(Prices!AW1),"",Prices!AW1)</f>
        <v/>
      </c>
      <c r="AX3" s="1" t="str">
        <f>IF(ISBLANK(Prices!AX1),"",Prices!AX1)</f>
        <v/>
      </c>
      <c r="AY3" s="1" t="str">
        <f>IF(ISBLANK(Prices!AY1),"",Prices!AY1)</f>
        <v/>
      </c>
      <c r="AZ3" s="1" t="str">
        <f>IF(ISBLANK(Prices!AZ1),"",Prices!AZ1)</f>
        <v/>
      </c>
      <c r="BA3" s="1" t="str">
        <f>IF(ISBLANK(Prices!BA1),"",Prices!BA1)</f>
        <v/>
      </c>
      <c r="BB3" s="1" t="str">
        <f>IF(ISBLANK(Prices!BB1),"",Prices!BB1)</f>
        <v/>
      </c>
      <c r="BC3" s="1" t="str">
        <f>IF(ISBLANK(Prices!BC1),"",Prices!BC1)</f>
        <v/>
      </c>
      <c r="BD3" s="1" t="str">
        <f>IF(ISBLANK(Prices!BD1),"",Prices!BD1)</f>
        <v/>
      </c>
      <c r="BE3" s="1" t="str">
        <f>IF(ISBLANK(Prices!BE1),"",Prices!BE1)</f>
        <v/>
      </c>
      <c r="BF3" s="1" t="str">
        <f>IF(ISBLANK(Prices!BF1),"",Prices!BF1)</f>
        <v/>
      </c>
      <c r="BG3" s="1" t="str">
        <f>IF(ISBLANK(Prices!BG1),"",Prices!BG1)</f>
        <v/>
      </c>
      <c r="BH3" s="1" t="str">
        <f>IF(ISBLANK(Prices!BH1),"",Prices!BH1)</f>
        <v/>
      </c>
      <c r="BI3" s="1" t="str">
        <f>IF(ISBLANK(Prices!BI1),"",Prices!BI1)</f>
        <v/>
      </c>
      <c r="BJ3" s="1" t="str">
        <f>IF(ISBLANK(Prices!BJ1),"",Prices!BJ1)</f>
        <v/>
      </c>
      <c r="BK3" s="1" t="str">
        <f>IF(ISBLANK(Prices!BK1),"",Prices!BK1)</f>
        <v/>
      </c>
      <c r="BL3" s="1" t="str">
        <f>IF(ISBLANK(Prices!BL1),"",Prices!BL1)</f>
        <v/>
      </c>
      <c r="BM3" s="1" t="str">
        <f>IF(ISBLANK(Prices!BM1),"",Prices!BM1)</f>
        <v/>
      </c>
      <c r="BN3" s="1" t="str">
        <f>IF(ISBLANK(Prices!BN1),"",Prices!BN1)</f>
        <v/>
      </c>
      <c r="BO3" s="1" t="str">
        <f>IF(ISBLANK(Prices!BO1),"",Prices!BO1)</f>
        <v/>
      </c>
      <c r="BP3" s="1" t="str">
        <f>IF(ISBLANK(Prices!BP1),"",Prices!BP1)</f>
        <v/>
      </c>
      <c r="BQ3" s="1" t="str">
        <f>IF(ISBLANK(Prices!BQ1),"",Prices!BQ1)</f>
        <v/>
      </c>
      <c r="BR3" s="1" t="str">
        <f>IF(ISBLANK(Prices!BR1),"",Prices!BR1)</f>
        <v/>
      </c>
      <c r="BS3" s="1" t="str">
        <f>IF(ISBLANK(Prices!BS1),"",Prices!BS1)</f>
        <v/>
      </c>
      <c r="BT3" s="1" t="str">
        <f>IF(ISBLANK(Prices!BT1),"",Prices!BT1)</f>
        <v/>
      </c>
      <c r="BU3" s="1" t="str">
        <f>IF(ISBLANK(Prices!BU1),"",Prices!BU1)</f>
        <v/>
      </c>
      <c r="BV3" s="1" t="str">
        <f>IF(ISBLANK(Prices!BV1),"",Prices!BV1)</f>
        <v/>
      </c>
      <c r="BW3" s="1" t="str">
        <f>IF(ISBLANK(Prices!BW1),"",Prices!BW1)</f>
        <v/>
      </c>
      <c r="BX3" s="1" t="str">
        <f>IF(ISBLANK(Prices!BX1),"",Prices!BX1)</f>
        <v/>
      </c>
      <c r="BY3" s="1" t="str">
        <f>IF(ISBLANK(Prices!BY1),"",Prices!BY1)</f>
        <v/>
      </c>
      <c r="BZ3" s="1" t="str">
        <f>IF(ISBLANK(Prices!BZ1),"",Prices!BZ1)</f>
        <v/>
      </c>
      <c r="CA3" s="1" t="str">
        <f>IF(ISBLANK(Prices!CA1),"",Prices!CA1)</f>
        <v/>
      </c>
      <c r="CB3" s="1" t="str">
        <f>IF(ISBLANK(Prices!CB1),"",Prices!CB1)</f>
        <v/>
      </c>
      <c r="CC3" s="1" t="str">
        <f>IF(ISBLANK(Prices!CC1),"",Prices!CC1)</f>
        <v/>
      </c>
      <c r="CD3" s="1" t="str">
        <f>IF(ISBLANK(Prices!CD1),"",Prices!CD1)</f>
        <v/>
      </c>
      <c r="CE3" s="1" t="str">
        <f>IF(ISBLANK(Prices!CE1),"",Prices!CE1)</f>
        <v/>
      </c>
      <c r="CF3" s="1" t="str">
        <f>IF(ISBLANK(Prices!CF1),"",Prices!CF1)</f>
        <v/>
      </c>
      <c r="CG3" s="1" t="str">
        <f>IF(ISBLANK(Prices!CG1),"",Prices!CG1)</f>
        <v/>
      </c>
      <c r="CH3" s="1" t="str">
        <f>IF(ISBLANK(Prices!CH1),"",Prices!CH1)</f>
        <v/>
      </c>
      <c r="CI3" s="1" t="str">
        <f>IF(ISBLANK(Prices!CI1),"",Prices!CI1)</f>
        <v/>
      </c>
      <c r="CJ3" s="1" t="str">
        <f>IF(ISBLANK(Prices!CJ1),"",Prices!CJ1)</f>
        <v/>
      </c>
      <c r="CK3" s="1" t="str">
        <f>IF(ISBLANK(Prices!CK1),"",Prices!CK1)</f>
        <v/>
      </c>
      <c r="CL3" s="1" t="str">
        <f>IF(ISBLANK(Prices!CL1),"",Prices!CL1)</f>
        <v/>
      </c>
      <c r="CM3" s="1" t="str">
        <f>IF(ISBLANK(Prices!CM1),"",Prices!CM1)</f>
        <v/>
      </c>
      <c r="CN3" s="1" t="str">
        <f>IF(ISBLANK(Prices!CN1),"",Prices!CN1)</f>
        <v/>
      </c>
    </row>
    <row r="4" spans="1:92" x14ac:dyDescent="0.25">
      <c r="B4" s="1" t="str">
        <f>IF(ISBLANK(Prices!A2),"",Prices!A2)</f>
        <v>OANDA_EURUSD</v>
      </c>
      <c r="C4" s="1">
        <f>IF(ISBLANK(Prices!C2),"",Prices!C2)</f>
        <v>1</v>
      </c>
      <c r="D4" s="1">
        <f>IF(ISBLANK(Prices!D2),"",Prices!D2)</f>
        <v>1.2955700000000001</v>
      </c>
      <c r="E4" s="1">
        <f>IF(ISBLANK(Prices!E2),"",Prices!E2)</f>
        <v>1</v>
      </c>
      <c r="F4" s="1">
        <f>IF(ISBLANK(Prices!F2),"",Prices!F2)</f>
        <v>1.2957000000000001</v>
      </c>
      <c r="G4" s="1" t="str">
        <f>IF(ISBLANK(Prices!G2),"",Prices!G2)</f>
        <v/>
      </c>
      <c r="H4" s="1" t="str">
        <f>IF(ISBLANK(Prices!H2),"",Prices!H2)</f>
        <v/>
      </c>
      <c r="I4" s="1" t="str">
        <f>IF(ISBLANK(Prices!I2),"",Prices!I2)</f>
        <v/>
      </c>
      <c r="J4" s="1" t="str">
        <f>IF(ISBLANK(Prices!J2),"",Prices!J2)</f>
        <v/>
      </c>
      <c r="K4" s="1" t="str">
        <f>IF(ISBLANK(Prices!K2),"",Prices!K2)</f>
        <v/>
      </c>
      <c r="L4" s="1" t="str">
        <f>IF(ISBLANK(Prices!L2),"",Prices!L2)</f>
        <v/>
      </c>
      <c r="M4" s="1" t="str">
        <f>IF(ISBLANK(Prices!M2),"",Prices!M2)</f>
        <v/>
      </c>
      <c r="N4" s="1" t="str">
        <f>IF(ISBLANK(Prices!N2),"",Prices!N2)</f>
        <v/>
      </c>
      <c r="O4" s="1" t="str">
        <f>IF(ISBLANK(Prices!O2),"",Prices!O2)</f>
        <v/>
      </c>
      <c r="P4" s="1" t="str">
        <f>IF(ISBLANK(Prices!P2),"",Prices!P2)</f>
        <v/>
      </c>
      <c r="Q4" s="1" t="str">
        <f>IF(ISBLANK(Prices!Q2),"",Prices!Q2)</f>
        <v/>
      </c>
      <c r="R4" s="1" t="str">
        <f>IF(ISBLANK(Prices!R2),"",Prices!R2)</f>
        <v/>
      </c>
      <c r="S4" s="1" t="str">
        <f>IF(ISBLANK(Prices!S2),"",Prices!S2)</f>
        <v/>
      </c>
      <c r="T4" s="1" t="str">
        <f>IF(ISBLANK(Prices!T2),"",Prices!T2)</f>
        <v/>
      </c>
      <c r="U4" s="1" t="str">
        <f>IF(ISBLANK(Prices!U2),"",Prices!U2)</f>
        <v/>
      </c>
      <c r="V4" s="1" t="str">
        <f>IF(ISBLANK(Prices!V2),"",Prices!V2)</f>
        <v/>
      </c>
      <c r="W4" s="1" t="str">
        <f>IF(ISBLANK(Prices!W2),"",Prices!W2)</f>
        <v/>
      </c>
      <c r="X4" s="1" t="str">
        <f>IF(ISBLANK(Prices!X2),"",Prices!X2)</f>
        <v/>
      </c>
      <c r="Y4" s="1" t="str">
        <f>IF(ISBLANK(Prices!Y2),"",Prices!Y2)</f>
        <v/>
      </c>
      <c r="Z4" s="1" t="str">
        <f>IF(ISBLANK(Prices!Z2),"",Prices!Z2)</f>
        <v/>
      </c>
      <c r="AA4" s="1" t="str">
        <f>IF(ISBLANK(Prices!AA2),"",Prices!AA2)</f>
        <v/>
      </c>
      <c r="AB4" s="1" t="str">
        <f>IF(ISBLANK(Prices!AB2),"",Prices!AB2)</f>
        <v/>
      </c>
      <c r="AC4" s="1" t="str">
        <f>IF(ISBLANK(Prices!AC2),"",Prices!AC2)</f>
        <v/>
      </c>
      <c r="AD4" s="1" t="str">
        <f>IF(ISBLANK(Prices!AD2),"",Prices!AD2)</f>
        <v/>
      </c>
      <c r="AE4" s="1" t="str">
        <f>IF(ISBLANK(Prices!AE2),"",Prices!AE2)</f>
        <v/>
      </c>
      <c r="AF4" s="1" t="str">
        <f>IF(ISBLANK(Prices!AF2),"",Prices!AF2)</f>
        <v/>
      </c>
      <c r="AG4" s="1" t="str">
        <f>IF(ISBLANK(Prices!AG2),"",Prices!AG2)</f>
        <v/>
      </c>
      <c r="AH4" s="1" t="str">
        <f>IF(ISBLANK(Prices!AH2),"",Prices!AH2)</f>
        <v/>
      </c>
      <c r="AI4" s="1" t="str">
        <f>IF(ISBLANK(Prices!AI2),"",Prices!AI2)</f>
        <v/>
      </c>
      <c r="AJ4" s="1" t="str">
        <f>IF(ISBLANK(Prices!AJ2),"",Prices!AJ2)</f>
        <v/>
      </c>
      <c r="AK4" s="1" t="str">
        <f>IF(ISBLANK(Prices!AK2),"",Prices!AK2)</f>
        <v/>
      </c>
      <c r="AL4" s="1" t="str">
        <f>IF(ISBLANK(Prices!AL2),"",Prices!AL2)</f>
        <v/>
      </c>
      <c r="AM4" s="1" t="str">
        <f>IF(ISBLANK(Prices!AM2),"",Prices!AM2)</f>
        <v/>
      </c>
      <c r="AN4" s="1" t="str">
        <f>IF(ISBLANK(Prices!AN2),"",Prices!AN2)</f>
        <v/>
      </c>
      <c r="AO4" s="1" t="str">
        <f>IF(ISBLANK(Prices!AO2),"",Prices!AO2)</f>
        <v/>
      </c>
      <c r="AP4" s="1" t="str">
        <f>IF(ISBLANK(Prices!AP2),"",Prices!AP2)</f>
        <v/>
      </c>
      <c r="AQ4" s="1" t="str">
        <f>IF(ISBLANK(Prices!AQ2),"",Prices!AQ2)</f>
        <v/>
      </c>
      <c r="AR4" s="1" t="str">
        <f>IF(ISBLANK(Prices!AR2),"",Prices!AR2)</f>
        <v/>
      </c>
      <c r="AS4" s="1" t="str">
        <f>IF(ISBLANK(Prices!AS2),"",Prices!AS2)</f>
        <v/>
      </c>
      <c r="AT4" s="1" t="str">
        <f>IF(ISBLANK(Prices!AT2),"",Prices!AT2)</f>
        <v/>
      </c>
      <c r="AU4" s="1" t="str">
        <f>IF(ISBLANK(Prices!AU2),"",Prices!AU2)</f>
        <v/>
      </c>
      <c r="AV4" s="1" t="str">
        <f>IF(ISBLANK(Prices!AV2),"",Prices!AV2)</f>
        <v/>
      </c>
      <c r="AW4" s="1" t="str">
        <f>IF(ISBLANK(Prices!AW2),"",Prices!AW2)</f>
        <v/>
      </c>
      <c r="AX4" s="1" t="str">
        <f>IF(ISBLANK(Prices!AX2),"",Prices!AX2)</f>
        <v/>
      </c>
      <c r="AY4" s="1" t="str">
        <f>IF(ISBLANK(Prices!AY2),"",Prices!AY2)</f>
        <v/>
      </c>
      <c r="AZ4" s="1" t="str">
        <f>IF(ISBLANK(Prices!AZ2),"",Prices!AZ2)</f>
        <v/>
      </c>
      <c r="BA4" s="1" t="str">
        <f>IF(ISBLANK(Prices!BA2),"",Prices!BA2)</f>
        <v/>
      </c>
      <c r="BB4" s="1" t="str">
        <f>IF(ISBLANK(Prices!BB2),"",Prices!BB2)</f>
        <v/>
      </c>
      <c r="BC4" s="1" t="str">
        <f>IF(ISBLANK(Prices!BC2),"",Prices!BC2)</f>
        <v/>
      </c>
      <c r="BD4" s="1" t="str">
        <f>IF(ISBLANK(Prices!BD2),"",Prices!BD2)</f>
        <v/>
      </c>
      <c r="BE4" s="1" t="str">
        <f>IF(ISBLANK(Prices!BE2),"",Prices!BE2)</f>
        <v/>
      </c>
      <c r="BF4" s="1" t="str">
        <f>IF(ISBLANK(Prices!BF2),"",Prices!BF2)</f>
        <v/>
      </c>
      <c r="BG4" s="1" t="str">
        <f>IF(ISBLANK(Prices!BG2),"",Prices!BG2)</f>
        <v/>
      </c>
      <c r="BH4" s="1" t="str">
        <f>IF(ISBLANK(Prices!BH2),"",Prices!BH2)</f>
        <v/>
      </c>
      <c r="BI4" s="1" t="str">
        <f>IF(ISBLANK(Prices!BI2),"",Prices!BI2)</f>
        <v/>
      </c>
      <c r="BJ4" s="1" t="str">
        <f>IF(ISBLANK(Prices!BJ2),"",Prices!BJ2)</f>
        <v/>
      </c>
      <c r="BK4" s="1" t="str">
        <f>IF(ISBLANK(Prices!BK2),"",Prices!BK2)</f>
        <v/>
      </c>
      <c r="BL4" s="1" t="str">
        <f>IF(ISBLANK(Prices!BL2),"",Prices!BL2)</f>
        <v/>
      </c>
      <c r="BM4" s="1" t="str">
        <f>IF(ISBLANK(Prices!BM2),"",Prices!BM2)</f>
        <v/>
      </c>
      <c r="BN4" s="1" t="str">
        <f>IF(ISBLANK(Prices!BN2),"",Prices!BN2)</f>
        <v/>
      </c>
      <c r="BO4" s="1" t="str">
        <f>IF(ISBLANK(Prices!BO2),"",Prices!BO2)</f>
        <v/>
      </c>
      <c r="BP4" s="1" t="str">
        <f>IF(ISBLANK(Prices!BP2),"",Prices!BP2)</f>
        <v/>
      </c>
      <c r="BQ4" s="1" t="str">
        <f>IF(ISBLANK(Prices!BQ2),"",Prices!BQ2)</f>
        <v/>
      </c>
      <c r="BR4" s="1" t="str">
        <f>IF(ISBLANK(Prices!BR2),"",Prices!BR2)</f>
        <v/>
      </c>
      <c r="BS4" s="1" t="str">
        <f>IF(ISBLANK(Prices!BS2),"",Prices!BS2)</f>
        <v/>
      </c>
      <c r="BT4" s="1" t="str">
        <f>IF(ISBLANK(Prices!BT2),"",Prices!BT2)</f>
        <v/>
      </c>
      <c r="BU4" s="1" t="str">
        <f>IF(ISBLANK(Prices!BU2),"",Prices!BU2)</f>
        <v/>
      </c>
      <c r="BV4" s="1" t="str">
        <f>IF(ISBLANK(Prices!BV2),"",Prices!BV2)</f>
        <v/>
      </c>
      <c r="BW4" s="1" t="str">
        <f>IF(ISBLANK(Prices!BW2),"",Prices!BW2)</f>
        <v/>
      </c>
      <c r="BX4" s="1" t="str">
        <f>IF(ISBLANK(Prices!BX2),"",Prices!BX2)</f>
        <v/>
      </c>
      <c r="BY4" s="1" t="str">
        <f>IF(ISBLANK(Prices!BY2),"",Prices!BY2)</f>
        <v/>
      </c>
      <c r="BZ4" s="1" t="str">
        <f>IF(ISBLANK(Prices!BZ2),"",Prices!BZ2)</f>
        <v/>
      </c>
      <c r="CA4" s="1" t="str">
        <f>IF(ISBLANK(Prices!CA2),"",Prices!CA2)</f>
        <v/>
      </c>
      <c r="CB4" s="1" t="str">
        <f>IF(ISBLANK(Prices!CB2),"",Prices!CB2)</f>
        <v/>
      </c>
      <c r="CC4" s="1" t="str">
        <f>IF(ISBLANK(Prices!CC2),"",Prices!CC2)</f>
        <v/>
      </c>
      <c r="CD4" s="1" t="str">
        <f>IF(ISBLANK(Prices!CD2),"",Prices!CD2)</f>
        <v/>
      </c>
      <c r="CE4" s="1" t="str">
        <f>IF(ISBLANK(Prices!CE2),"",Prices!CE2)</f>
        <v/>
      </c>
      <c r="CF4" s="1" t="str">
        <f>IF(ISBLANK(Prices!CF2),"",Prices!CF2)</f>
        <v/>
      </c>
      <c r="CG4" s="1" t="str">
        <f>IF(ISBLANK(Prices!CG2),"",Prices!CG2)</f>
        <v/>
      </c>
      <c r="CH4" s="1" t="str">
        <f>IF(ISBLANK(Prices!CH2),"",Prices!CH2)</f>
        <v/>
      </c>
      <c r="CI4" s="1" t="str">
        <f>IF(ISBLANK(Prices!CI2),"",Prices!CI2)</f>
        <v/>
      </c>
      <c r="CJ4" s="1" t="str">
        <f>IF(ISBLANK(Prices!CJ2),"",Prices!CJ2)</f>
        <v/>
      </c>
      <c r="CK4" s="1" t="str">
        <f>IF(ISBLANK(Prices!CK2),"",Prices!CK2)</f>
        <v/>
      </c>
      <c r="CL4" s="1" t="str">
        <f>IF(ISBLANK(Prices!CL2),"",Prices!CL2)</f>
        <v/>
      </c>
      <c r="CM4" s="1" t="str">
        <f>IF(ISBLANK(Prices!CM2),"",Prices!CM2)</f>
        <v/>
      </c>
      <c r="CN4" s="1" t="str">
        <f>IF(ISBLANK(Prices!CN2),"",Prices!CN2)</f>
        <v/>
      </c>
    </row>
    <row r="5" spans="1:92" x14ac:dyDescent="0.25">
      <c r="B5" s="1" t="str">
        <f>IF(ISBLANK(Prices!A3),"",Prices!A3)</f>
        <v/>
      </c>
      <c r="C5" s="1" t="str">
        <f>IF(ISBLANK(Prices!C3),"",Prices!C3)</f>
        <v/>
      </c>
      <c r="D5" s="1" t="str">
        <f>IF(ISBLANK(Prices!D3),"",Prices!D3)</f>
        <v/>
      </c>
      <c r="E5" s="1" t="str">
        <f>IF(ISBLANK(Prices!E3),"",Prices!E3)</f>
        <v/>
      </c>
      <c r="F5" s="1" t="str">
        <f>IF(ISBLANK(Prices!F3),"",Prices!F3)</f>
        <v/>
      </c>
      <c r="G5" s="1" t="str">
        <f>IF(ISBLANK(Prices!G3),"",Prices!G3)</f>
        <v/>
      </c>
      <c r="H5" s="1" t="str">
        <f>IF(ISBLANK(Prices!H3),"",Prices!H3)</f>
        <v/>
      </c>
      <c r="I5" s="1" t="str">
        <f>IF(ISBLANK(Prices!I3),"",Prices!I3)</f>
        <v/>
      </c>
      <c r="J5" s="1" t="str">
        <f>IF(ISBLANK(Prices!J3),"",Prices!J3)</f>
        <v/>
      </c>
      <c r="K5" s="1" t="str">
        <f>IF(ISBLANK(Prices!K3),"",Prices!K3)</f>
        <v/>
      </c>
      <c r="L5" s="1" t="str">
        <f>IF(ISBLANK(Prices!L3),"",Prices!L3)</f>
        <v/>
      </c>
      <c r="M5" s="1" t="str">
        <f>IF(ISBLANK(Prices!M3),"",Prices!M3)</f>
        <v/>
      </c>
      <c r="N5" s="1" t="str">
        <f>IF(ISBLANK(Prices!N3),"",Prices!N3)</f>
        <v/>
      </c>
      <c r="O5" s="1" t="str">
        <f>IF(ISBLANK(Prices!O3),"",Prices!O3)</f>
        <v/>
      </c>
      <c r="P5" s="1" t="str">
        <f>IF(ISBLANK(Prices!P3),"",Prices!P3)</f>
        <v/>
      </c>
      <c r="Q5" s="1" t="str">
        <f>IF(ISBLANK(Prices!Q3),"",Prices!Q3)</f>
        <v/>
      </c>
      <c r="R5" s="1" t="str">
        <f>IF(ISBLANK(Prices!R3),"",Prices!R3)</f>
        <v/>
      </c>
      <c r="S5" s="1" t="str">
        <f>IF(ISBLANK(Prices!S3),"",Prices!S3)</f>
        <v/>
      </c>
      <c r="T5" s="1" t="str">
        <f>IF(ISBLANK(Prices!T3),"",Prices!T3)</f>
        <v/>
      </c>
      <c r="U5" s="1" t="str">
        <f>IF(ISBLANK(Prices!U3),"",Prices!U3)</f>
        <v/>
      </c>
      <c r="V5" s="1" t="str">
        <f>IF(ISBLANK(Prices!V3),"",Prices!V3)</f>
        <v/>
      </c>
      <c r="W5" s="1" t="str">
        <f>IF(ISBLANK(Prices!W3),"",Prices!W3)</f>
        <v/>
      </c>
      <c r="X5" s="1" t="str">
        <f>IF(ISBLANK(Prices!X3),"",Prices!X3)</f>
        <v/>
      </c>
      <c r="Y5" s="1" t="str">
        <f>IF(ISBLANK(Prices!Y3),"",Prices!Y3)</f>
        <v/>
      </c>
      <c r="Z5" s="1" t="str">
        <f>IF(ISBLANK(Prices!Z3),"",Prices!Z3)</f>
        <v/>
      </c>
      <c r="AA5" s="1" t="str">
        <f>IF(ISBLANK(Prices!AA3),"",Prices!AA3)</f>
        <v/>
      </c>
      <c r="AB5" s="1" t="str">
        <f>IF(ISBLANK(Prices!AB3),"",Prices!AB3)</f>
        <v/>
      </c>
      <c r="AC5" s="1" t="str">
        <f>IF(ISBLANK(Prices!AC3),"",Prices!AC3)</f>
        <v/>
      </c>
      <c r="AD5" s="1" t="str">
        <f>IF(ISBLANK(Prices!AD3),"",Prices!AD3)</f>
        <v/>
      </c>
      <c r="AE5" s="1" t="str">
        <f>IF(ISBLANK(Prices!AE3),"",Prices!AE3)</f>
        <v/>
      </c>
      <c r="AF5" s="1" t="str">
        <f>IF(ISBLANK(Prices!AF3),"",Prices!AF3)</f>
        <v/>
      </c>
      <c r="AG5" s="1" t="str">
        <f>IF(ISBLANK(Prices!AG3),"",Prices!AG3)</f>
        <v/>
      </c>
      <c r="AH5" s="1" t="str">
        <f>IF(ISBLANK(Prices!AH3),"",Prices!AH3)</f>
        <v/>
      </c>
      <c r="AI5" s="1" t="str">
        <f>IF(ISBLANK(Prices!AI3),"",Prices!AI3)</f>
        <v/>
      </c>
      <c r="AJ5" s="1" t="str">
        <f>IF(ISBLANK(Prices!AJ3),"",Prices!AJ3)</f>
        <v/>
      </c>
      <c r="AK5" s="1" t="str">
        <f>IF(ISBLANK(Prices!AK3),"",Prices!AK3)</f>
        <v/>
      </c>
      <c r="AL5" s="1" t="str">
        <f>IF(ISBLANK(Prices!AL3),"",Prices!AL3)</f>
        <v/>
      </c>
      <c r="AM5" s="1" t="str">
        <f>IF(ISBLANK(Prices!AM3),"",Prices!AM3)</f>
        <v/>
      </c>
      <c r="AN5" s="1" t="str">
        <f>IF(ISBLANK(Prices!AN3),"",Prices!AN3)</f>
        <v/>
      </c>
      <c r="AO5" s="1" t="str">
        <f>IF(ISBLANK(Prices!AO3),"",Prices!AO3)</f>
        <v/>
      </c>
      <c r="AP5" s="1" t="str">
        <f>IF(ISBLANK(Prices!AP3),"",Prices!AP3)</f>
        <v/>
      </c>
      <c r="AQ5" s="1" t="str">
        <f>IF(ISBLANK(Prices!AQ3),"",Prices!AQ3)</f>
        <v/>
      </c>
      <c r="AR5" s="1" t="str">
        <f>IF(ISBLANK(Prices!AR3),"",Prices!AR3)</f>
        <v/>
      </c>
      <c r="AS5" s="1" t="str">
        <f>IF(ISBLANK(Prices!AS3),"",Prices!AS3)</f>
        <v/>
      </c>
      <c r="AT5" s="1" t="str">
        <f>IF(ISBLANK(Prices!AT3),"",Prices!AT3)</f>
        <v/>
      </c>
      <c r="AU5" s="1" t="str">
        <f>IF(ISBLANK(Prices!AU3),"",Prices!AU3)</f>
        <v/>
      </c>
      <c r="AV5" s="1" t="str">
        <f>IF(ISBLANK(Prices!AV3),"",Prices!AV3)</f>
        <v/>
      </c>
      <c r="AW5" s="1" t="str">
        <f>IF(ISBLANK(Prices!AW3),"",Prices!AW3)</f>
        <v/>
      </c>
      <c r="AX5" s="1" t="str">
        <f>IF(ISBLANK(Prices!AX3),"",Prices!AX3)</f>
        <v/>
      </c>
      <c r="AY5" s="1" t="str">
        <f>IF(ISBLANK(Prices!AY3),"",Prices!AY3)</f>
        <v/>
      </c>
      <c r="AZ5" s="1" t="str">
        <f>IF(ISBLANK(Prices!AZ3),"",Prices!AZ3)</f>
        <v/>
      </c>
      <c r="BA5" s="1" t="str">
        <f>IF(ISBLANK(Prices!BA3),"",Prices!BA3)</f>
        <v/>
      </c>
      <c r="BB5" s="1" t="str">
        <f>IF(ISBLANK(Prices!BB3),"",Prices!BB3)</f>
        <v/>
      </c>
      <c r="BC5" s="1" t="str">
        <f>IF(ISBLANK(Prices!BC3),"",Prices!BC3)</f>
        <v/>
      </c>
      <c r="BD5" s="1" t="str">
        <f>IF(ISBLANK(Prices!BD3),"",Prices!BD3)</f>
        <v/>
      </c>
      <c r="BE5" s="1" t="str">
        <f>IF(ISBLANK(Prices!BE3),"",Prices!BE3)</f>
        <v/>
      </c>
      <c r="BF5" s="1" t="str">
        <f>IF(ISBLANK(Prices!BF3),"",Prices!BF3)</f>
        <v/>
      </c>
      <c r="BG5" s="1" t="str">
        <f>IF(ISBLANK(Prices!BG3),"",Prices!BG3)</f>
        <v/>
      </c>
      <c r="BH5" s="1" t="str">
        <f>IF(ISBLANK(Prices!BH3),"",Prices!BH3)</f>
        <v/>
      </c>
      <c r="BI5" s="1" t="str">
        <f>IF(ISBLANK(Prices!BI3),"",Prices!BI3)</f>
        <v/>
      </c>
      <c r="BJ5" s="1" t="str">
        <f>IF(ISBLANK(Prices!BJ3),"",Prices!BJ3)</f>
        <v/>
      </c>
      <c r="BK5" s="1" t="str">
        <f>IF(ISBLANK(Prices!BK3),"",Prices!BK3)</f>
        <v/>
      </c>
      <c r="BL5" s="1" t="str">
        <f>IF(ISBLANK(Prices!BL3),"",Prices!BL3)</f>
        <v/>
      </c>
      <c r="BM5" s="1" t="str">
        <f>IF(ISBLANK(Prices!BM3),"",Prices!BM3)</f>
        <v/>
      </c>
      <c r="BN5" s="1" t="str">
        <f>IF(ISBLANK(Prices!BN3),"",Prices!BN3)</f>
        <v/>
      </c>
      <c r="BO5" s="1" t="str">
        <f>IF(ISBLANK(Prices!BO3),"",Prices!BO3)</f>
        <v/>
      </c>
      <c r="BP5" s="1" t="str">
        <f>IF(ISBLANK(Prices!BP3),"",Prices!BP3)</f>
        <v/>
      </c>
      <c r="BQ5" s="1" t="str">
        <f>IF(ISBLANK(Prices!BQ3),"",Prices!BQ3)</f>
        <v/>
      </c>
      <c r="BR5" s="1" t="str">
        <f>IF(ISBLANK(Prices!BR3),"",Prices!BR3)</f>
        <v/>
      </c>
      <c r="BS5" s="1" t="str">
        <f>IF(ISBLANK(Prices!BS3),"",Prices!BS3)</f>
        <v/>
      </c>
      <c r="BT5" s="1" t="str">
        <f>IF(ISBLANK(Prices!BT3),"",Prices!BT3)</f>
        <v/>
      </c>
      <c r="BU5" s="1" t="str">
        <f>IF(ISBLANK(Prices!BU3),"",Prices!BU3)</f>
        <v/>
      </c>
      <c r="BV5" s="1" t="str">
        <f>IF(ISBLANK(Prices!BV3),"",Prices!BV3)</f>
        <v/>
      </c>
      <c r="BW5" s="1" t="str">
        <f>IF(ISBLANK(Prices!BW3),"",Prices!BW3)</f>
        <v/>
      </c>
      <c r="BX5" s="1" t="str">
        <f>IF(ISBLANK(Prices!BX3),"",Prices!BX3)</f>
        <v/>
      </c>
      <c r="BY5" s="1" t="str">
        <f>IF(ISBLANK(Prices!BY3),"",Prices!BY3)</f>
        <v/>
      </c>
      <c r="BZ5" s="1" t="str">
        <f>IF(ISBLANK(Prices!BZ3),"",Prices!BZ3)</f>
        <v/>
      </c>
      <c r="CA5" s="1" t="str">
        <f>IF(ISBLANK(Prices!CA3),"",Prices!CA3)</f>
        <v/>
      </c>
      <c r="CB5" s="1" t="str">
        <f>IF(ISBLANK(Prices!CB3),"",Prices!CB3)</f>
        <v/>
      </c>
      <c r="CC5" s="1" t="str">
        <f>IF(ISBLANK(Prices!CC3),"",Prices!CC3)</f>
        <v/>
      </c>
      <c r="CD5" s="1" t="str">
        <f>IF(ISBLANK(Prices!CD3),"",Prices!CD3)</f>
        <v/>
      </c>
      <c r="CE5" s="1" t="str">
        <f>IF(ISBLANK(Prices!CE3),"",Prices!CE3)</f>
        <v/>
      </c>
      <c r="CF5" s="1" t="str">
        <f>IF(ISBLANK(Prices!CF3),"",Prices!CF3)</f>
        <v/>
      </c>
      <c r="CG5" s="1" t="str">
        <f>IF(ISBLANK(Prices!CG3),"",Prices!CG3)</f>
        <v/>
      </c>
      <c r="CH5" s="1" t="str">
        <f>IF(ISBLANK(Prices!CH3),"",Prices!CH3)</f>
        <v/>
      </c>
      <c r="CI5" s="1" t="str">
        <f>IF(ISBLANK(Prices!CI3),"",Prices!CI3)</f>
        <v/>
      </c>
      <c r="CJ5" s="1" t="str">
        <f>IF(ISBLANK(Prices!CJ3),"",Prices!CJ3)</f>
        <v/>
      </c>
      <c r="CK5" s="1" t="str">
        <f>IF(ISBLANK(Prices!CK3),"",Prices!CK3)</f>
        <v/>
      </c>
      <c r="CL5" s="1" t="str">
        <f>IF(ISBLANK(Prices!CL3),"",Prices!CL3)</f>
        <v/>
      </c>
      <c r="CM5" s="1" t="str">
        <f>IF(ISBLANK(Prices!CM3),"",Prices!CM3)</f>
        <v/>
      </c>
      <c r="CN5" s="1" t="str">
        <f>IF(ISBLANK(Prices!CN3),"",Prices!CN3)</f>
        <v/>
      </c>
    </row>
    <row r="6" spans="1:92" x14ac:dyDescent="0.25">
      <c r="B6" s="1" t="str">
        <f>IF(ISBLANK(Prices!A4),"",Prices!A4)</f>
        <v/>
      </c>
      <c r="C6" s="1" t="str">
        <f>IF(ISBLANK(Prices!C4),"",Prices!C4)</f>
        <v/>
      </c>
      <c r="D6" s="1" t="str">
        <f>IF(ISBLANK(Prices!D4),"",Prices!D4)</f>
        <v/>
      </c>
      <c r="E6" s="1" t="str">
        <f>IF(ISBLANK(Prices!E4),"",Prices!E4)</f>
        <v/>
      </c>
      <c r="F6" s="1" t="str">
        <f>IF(ISBLANK(Prices!F4),"",Prices!F4)</f>
        <v/>
      </c>
      <c r="G6" s="1" t="str">
        <f>IF(ISBLANK(Prices!G4),"",Prices!G4)</f>
        <v/>
      </c>
      <c r="H6" s="1" t="str">
        <f>IF(ISBLANK(Prices!H4),"",Prices!H4)</f>
        <v/>
      </c>
      <c r="I6" s="1" t="str">
        <f>IF(ISBLANK(Prices!I4),"",Prices!I4)</f>
        <v/>
      </c>
      <c r="J6" s="1" t="str">
        <f>IF(ISBLANK(Prices!J4),"",Prices!J4)</f>
        <v/>
      </c>
      <c r="K6" s="1" t="str">
        <f>IF(ISBLANK(Prices!K4),"",Prices!K4)</f>
        <v/>
      </c>
      <c r="L6" s="1" t="str">
        <f>IF(ISBLANK(Prices!L4),"",Prices!L4)</f>
        <v/>
      </c>
      <c r="M6" s="1" t="str">
        <f>IF(ISBLANK(Prices!M4),"",Prices!M4)</f>
        <v/>
      </c>
      <c r="N6" s="1" t="str">
        <f>IF(ISBLANK(Prices!N4),"",Prices!N4)</f>
        <v/>
      </c>
      <c r="O6" s="1" t="str">
        <f>IF(ISBLANK(Prices!O4),"",Prices!O4)</f>
        <v/>
      </c>
      <c r="P6" s="1" t="str">
        <f>IF(ISBLANK(Prices!P4),"",Prices!P4)</f>
        <v/>
      </c>
      <c r="Q6" s="1" t="str">
        <f>IF(ISBLANK(Prices!Q4),"",Prices!Q4)</f>
        <v/>
      </c>
      <c r="R6" s="1" t="str">
        <f>IF(ISBLANK(Prices!R4),"",Prices!R4)</f>
        <v/>
      </c>
      <c r="S6" s="1" t="str">
        <f>IF(ISBLANK(Prices!S4),"",Prices!S4)</f>
        <v/>
      </c>
      <c r="T6" s="1" t="str">
        <f>IF(ISBLANK(Prices!T4),"",Prices!T4)</f>
        <v/>
      </c>
      <c r="U6" s="1" t="str">
        <f>IF(ISBLANK(Prices!U4),"",Prices!U4)</f>
        <v/>
      </c>
      <c r="V6" s="1" t="str">
        <f>IF(ISBLANK(Prices!V4),"",Prices!V4)</f>
        <v/>
      </c>
      <c r="W6" s="1" t="str">
        <f>IF(ISBLANK(Prices!W4),"",Prices!W4)</f>
        <v/>
      </c>
      <c r="X6" s="1" t="str">
        <f>IF(ISBLANK(Prices!X4),"",Prices!X4)</f>
        <v/>
      </c>
      <c r="Y6" s="1" t="str">
        <f>IF(ISBLANK(Prices!Y4),"",Prices!Y4)</f>
        <v/>
      </c>
      <c r="Z6" s="1" t="str">
        <f>IF(ISBLANK(Prices!Z4),"",Prices!Z4)</f>
        <v/>
      </c>
      <c r="AA6" s="1" t="str">
        <f>IF(ISBLANK(Prices!AA4),"",Prices!AA4)</f>
        <v/>
      </c>
      <c r="AB6" s="1" t="str">
        <f>IF(ISBLANK(Prices!AB4),"",Prices!AB4)</f>
        <v/>
      </c>
      <c r="AC6" s="1" t="str">
        <f>IF(ISBLANK(Prices!AC4),"",Prices!AC4)</f>
        <v/>
      </c>
      <c r="AD6" s="1" t="str">
        <f>IF(ISBLANK(Prices!AD4),"",Prices!AD4)</f>
        <v/>
      </c>
      <c r="AE6" s="1" t="str">
        <f>IF(ISBLANK(Prices!AE4),"",Prices!AE4)</f>
        <v/>
      </c>
      <c r="AF6" s="1" t="str">
        <f>IF(ISBLANK(Prices!AF4),"",Prices!AF4)</f>
        <v/>
      </c>
      <c r="AG6" s="1" t="str">
        <f>IF(ISBLANK(Prices!AG4),"",Prices!AG4)</f>
        <v/>
      </c>
      <c r="AH6" s="1" t="str">
        <f>IF(ISBLANK(Prices!AH4),"",Prices!AH4)</f>
        <v/>
      </c>
      <c r="AI6" s="1" t="str">
        <f>IF(ISBLANK(Prices!AI4),"",Prices!AI4)</f>
        <v/>
      </c>
      <c r="AJ6" s="1" t="str">
        <f>IF(ISBLANK(Prices!AJ4),"",Prices!AJ4)</f>
        <v/>
      </c>
      <c r="AK6" s="1" t="str">
        <f>IF(ISBLANK(Prices!AK4),"",Prices!AK4)</f>
        <v/>
      </c>
      <c r="AL6" s="1" t="str">
        <f>IF(ISBLANK(Prices!AL4),"",Prices!AL4)</f>
        <v/>
      </c>
      <c r="AM6" s="1" t="str">
        <f>IF(ISBLANK(Prices!AM4),"",Prices!AM4)</f>
        <v/>
      </c>
      <c r="AN6" s="1" t="str">
        <f>IF(ISBLANK(Prices!AN4),"",Prices!AN4)</f>
        <v/>
      </c>
      <c r="AO6" s="1" t="str">
        <f>IF(ISBLANK(Prices!AO4),"",Prices!AO4)</f>
        <v/>
      </c>
      <c r="AP6" s="1" t="str">
        <f>IF(ISBLANK(Prices!AP4),"",Prices!AP4)</f>
        <v/>
      </c>
      <c r="AQ6" s="1" t="str">
        <f>IF(ISBLANK(Prices!AQ4),"",Prices!AQ4)</f>
        <v/>
      </c>
      <c r="AR6" s="1" t="str">
        <f>IF(ISBLANK(Prices!AR4),"",Prices!AR4)</f>
        <v/>
      </c>
      <c r="AS6" s="1" t="str">
        <f>IF(ISBLANK(Prices!AS4),"",Prices!AS4)</f>
        <v/>
      </c>
      <c r="AT6" s="1" t="str">
        <f>IF(ISBLANK(Prices!AT4),"",Prices!AT4)</f>
        <v/>
      </c>
      <c r="AU6" s="1" t="str">
        <f>IF(ISBLANK(Prices!AU4),"",Prices!AU4)</f>
        <v/>
      </c>
      <c r="AV6" s="1" t="str">
        <f>IF(ISBLANK(Prices!AV4),"",Prices!AV4)</f>
        <v/>
      </c>
      <c r="AW6" s="1" t="str">
        <f>IF(ISBLANK(Prices!AW4),"",Prices!AW4)</f>
        <v/>
      </c>
      <c r="AX6" s="1" t="str">
        <f>IF(ISBLANK(Prices!AX4),"",Prices!AX4)</f>
        <v/>
      </c>
      <c r="AY6" s="1" t="str">
        <f>IF(ISBLANK(Prices!AY4),"",Prices!AY4)</f>
        <v/>
      </c>
      <c r="AZ6" s="1" t="str">
        <f>IF(ISBLANK(Prices!AZ4),"",Prices!AZ4)</f>
        <v/>
      </c>
      <c r="BA6" s="1" t="str">
        <f>IF(ISBLANK(Prices!BA4),"",Prices!BA4)</f>
        <v/>
      </c>
      <c r="BB6" s="1" t="str">
        <f>IF(ISBLANK(Prices!BB4),"",Prices!BB4)</f>
        <v/>
      </c>
      <c r="BC6" s="1" t="str">
        <f>IF(ISBLANK(Prices!BC4),"",Prices!BC4)</f>
        <v/>
      </c>
      <c r="BD6" s="1" t="str">
        <f>IF(ISBLANK(Prices!BD4),"",Prices!BD4)</f>
        <v/>
      </c>
      <c r="BE6" s="1" t="str">
        <f>IF(ISBLANK(Prices!BE4),"",Prices!BE4)</f>
        <v/>
      </c>
      <c r="BF6" s="1" t="str">
        <f>IF(ISBLANK(Prices!BF4),"",Prices!BF4)</f>
        <v/>
      </c>
      <c r="BG6" s="1" t="str">
        <f>IF(ISBLANK(Prices!BG4),"",Prices!BG4)</f>
        <v/>
      </c>
      <c r="BH6" s="1" t="str">
        <f>IF(ISBLANK(Prices!BH4),"",Prices!BH4)</f>
        <v/>
      </c>
      <c r="BI6" s="1" t="str">
        <f>IF(ISBLANK(Prices!BI4),"",Prices!BI4)</f>
        <v/>
      </c>
      <c r="BJ6" s="1" t="str">
        <f>IF(ISBLANK(Prices!BJ4),"",Prices!BJ4)</f>
        <v/>
      </c>
      <c r="BK6" s="1" t="str">
        <f>IF(ISBLANK(Prices!BK4),"",Prices!BK4)</f>
        <v/>
      </c>
      <c r="BL6" s="1" t="str">
        <f>IF(ISBLANK(Prices!BL4),"",Prices!BL4)</f>
        <v/>
      </c>
      <c r="BM6" s="1" t="str">
        <f>IF(ISBLANK(Prices!BM4),"",Prices!BM4)</f>
        <v/>
      </c>
      <c r="BN6" s="1" t="str">
        <f>IF(ISBLANK(Prices!BN4),"",Prices!BN4)</f>
        <v/>
      </c>
      <c r="BO6" s="1" t="str">
        <f>IF(ISBLANK(Prices!BO4),"",Prices!BO4)</f>
        <v/>
      </c>
      <c r="BP6" s="1" t="str">
        <f>IF(ISBLANK(Prices!BP4),"",Prices!BP4)</f>
        <v/>
      </c>
      <c r="BQ6" s="1" t="str">
        <f>IF(ISBLANK(Prices!BQ4),"",Prices!BQ4)</f>
        <v/>
      </c>
      <c r="BR6" s="1" t="str">
        <f>IF(ISBLANK(Prices!BR4),"",Prices!BR4)</f>
        <v/>
      </c>
      <c r="BS6" s="1" t="str">
        <f>IF(ISBLANK(Prices!BS4),"",Prices!BS4)</f>
        <v/>
      </c>
      <c r="BT6" s="1" t="str">
        <f>IF(ISBLANK(Prices!BT4),"",Prices!BT4)</f>
        <v/>
      </c>
      <c r="BU6" s="1" t="str">
        <f>IF(ISBLANK(Prices!BU4),"",Prices!BU4)</f>
        <v/>
      </c>
      <c r="BV6" s="1" t="str">
        <f>IF(ISBLANK(Prices!BV4),"",Prices!BV4)</f>
        <v/>
      </c>
      <c r="BW6" s="1" t="str">
        <f>IF(ISBLANK(Prices!BW4),"",Prices!BW4)</f>
        <v/>
      </c>
      <c r="BX6" s="1" t="str">
        <f>IF(ISBLANK(Prices!BX4),"",Prices!BX4)</f>
        <v/>
      </c>
      <c r="BY6" s="1" t="str">
        <f>IF(ISBLANK(Prices!BY4),"",Prices!BY4)</f>
        <v/>
      </c>
      <c r="BZ6" s="1" t="str">
        <f>IF(ISBLANK(Prices!BZ4),"",Prices!BZ4)</f>
        <v/>
      </c>
      <c r="CA6" s="1" t="str">
        <f>IF(ISBLANK(Prices!CA4),"",Prices!CA4)</f>
        <v/>
      </c>
      <c r="CB6" s="1" t="str">
        <f>IF(ISBLANK(Prices!CB4),"",Prices!CB4)</f>
        <v/>
      </c>
      <c r="CC6" s="1" t="str">
        <f>IF(ISBLANK(Prices!CC4),"",Prices!CC4)</f>
        <v/>
      </c>
      <c r="CD6" s="1" t="str">
        <f>IF(ISBLANK(Prices!CD4),"",Prices!CD4)</f>
        <v/>
      </c>
      <c r="CE6" s="1" t="str">
        <f>IF(ISBLANK(Prices!CE4),"",Prices!CE4)</f>
        <v/>
      </c>
      <c r="CF6" s="1" t="str">
        <f>IF(ISBLANK(Prices!CF4),"",Prices!CF4)</f>
        <v/>
      </c>
      <c r="CG6" s="1" t="str">
        <f>IF(ISBLANK(Prices!CG4),"",Prices!CG4)</f>
        <v/>
      </c>
      <c r="CH6" s="1" t="str">
        <f>IF(ISBLANK(Prices!CH4),"",Prices!CH4)</f>
        <v/>
      </c>
      <c r="CI6" s="1" t="str">
        <f>IF(ISBLANK(Prices!CI4),"",Prices!CI4)</f>
        <v/>
      </c>
      <c r="CJ6" s="1" t="str">
        <f>IF(ISBLANK(Prices!CJ4),"",Prices!CJ4)</f>
        <v/>
      </c>
      <c r="CK6" s="1" t="str">
        <f>IF(ISBLANK(Prices!CK4),"",Prices!CK4)</f>
        <v/>
      </c>
      <c r="CL6" s="1" t="str">
        <f>IF(ISBLANK(Prices!CL4),"",Prices!CL4)</f>
        <v/>
      </c>
      <c r="CM6" s="1" t="str">
        <f>IF(ISBLANK(Prices!CM4),"",Prices!CM4)</f>
        <v/>
      </c>
      <c r="CN6" s="1" t="str">
        <f>IF(ISBLANK(Prices!CN4),"",Prices!CN4)</f>
        <v/>
      </c>
    </row>
    <row r="7" spans="1:92" x14ac:dyDescent="0.25">
      <c r="B7" s="1" t="str">
        <f>IF(ISBLANK(Prices!A5),"",Prices!A5)</f>
        <v/>
      </c>
      <c r="C7" s="1" t="str">
        <f>IF(ISBLANK(Prices!C5),"",Prices!C5)</f>
        <v/>
      </c>
      <c r="D7" s="1" t="str">
        <f>IF(ISBLANK(Prices!D5),"",Prices!D5)</f>
        <v/>
      </c>
      <c r="E7" s="1" t="str">
        <f>IF(ISBLANK(Prices!E5),"",Prices!E5)</f>
        <v/>
      </c>
      <c r="F7" s="1" t="str">
        <f>IF(ISBLANK(Prices!F5),"",Prices!F5)</f>
        <v/>
      </c>
      <c r="G7" s="1" t="str">
        <f>IF(ISBLANK(Prices!G5),"",Prices!G5)</f>
        <v/>
      </c>
      <c r="H7" s="1" t="str">
        <f>IF(ISBLANK(Prices!H5),"",Prices!H5)</f>
        <v/>
      </c>
      <c r="I7" s="1" t="str">
        <f>IF(ISBLANK(Prices!I5),"",Prices!I5)</f>
        <v/>
      </c>
      <c r="J7" s="1" t="str">
        <f>IF(ISBLANK(Prices!J5),"",Prices!J5)</f>
        <v/>
      </c>
      <c r="K7" s="1" t="str">
        <f>IF(ISBLANK(Prices!K5),"",Prices!K5)</f>
        <v/>
      </c>
      <c r="L7" s="1" t="str">
        <f>IF(ISBLANK(Prices!L5),"",Prices!L5)</f>
        <v/>
      </c>
      <c r="M7" s="1" t="str">
        <f>IF(ISBLANK(Prices!M5),"",Prices!M5)</f>
        <v/>
      </c>
      <c r="N7" s="1" t="str">
        <f>IF(ISBLANK(Prices!N5),"",Prices!N5)</f>
        <v/>
      </c>
      <c r="O7" s="1" t="str">
        <f>IF(ISBLANK(Prices!O5),"",Prices!O5)</f>
        <v/>
      </c>
      <c r="P7" s="1" t="str">
        <f>IF(ISBLANK(Prices!P5),"",Prices!P5)</f>
        <v/>
      </c>
      <c r="Q7" s="1" t="str">
        <f>IF(ISBLANK(Prices!Q5),"",Prices!Q5)</f>
        <v/>
      </c>
      <c r="R7" s="1" t="str">
        <f>IF(ISBLANK(Prices!R5),"",Prices!R5)</f>
        <v/>
      </c>
      <c r="S7" s="1" t="str">
        <f>IF(ISBLANK(Prices!S5),"",Prices!S5)</f>
        <v/>
      </c>
      <c r="T7" s="1" t="str">
        <f>IF(ISBLANK(Prices!T5),"",Prices!T5)</f>
        <v/>
      </c>
      <c r="U7" s="1" t="str">
        <f>IF(ISBLANK(Prices!U5),"",Prices!U5)</f>
        <v/>
      </c>
      <c r="V7" s="1" t="str">
        <f>IF(ISBLANK(Prices!V5),"",Prices!V5)</f>
        <v/>
      </c>
      <c r="W7" s="1" t="str">
        <f>IF(ISBLANK(Prices!W5),"",Prices!W5)</f>
        <v/>
      </c>
      <c r="X7" s="1" t="str">
        <f>IF(ISBLANK(Prices!X5),"",Prices!X5)</f>
        <v/>
      </c>
      <c r="Y7" s="1" t="str">
        <f>IF(ISBLANK(Prices!Y5),"",Prices!Y5)</f>
        <v/>
      </c>
      <c r="Z7" s="1" t="str">
        <f>IF(ISBLANK(Prices!Z5),"",Prices!Z5)</f>
        <v/>
      </c>
      <c r="AA7" s="1" t="str">
        <f>IF(ISBLANK(Prices!AA5),"",Prices!AA5)</f>
        <v/>
      </c>
      <c r="AB7" s="1" t="str">
        <f>IF(ISBLANK(Prices!AB5),"",Prices!AB5)</f>
        <v/>
      </c>
      <c r="AC7" s="1" t="str">
        <f>IF(ISBLANK(Prices!AC5),"",Prices!AC5)</f>
        <v/>
      </c>
      <c r="AD7" s="1" t="str">
        <f>IF(ISBLANK(Prices!AD5),"",Prices!AD5)</f>
        <v/>
      </c>
      <c r="AE7" s="1" t="str">
        <f>IF(ISBLANK(Prices!AE5),"",Prices!AE5)</f>
        <v/>
      </c>
      <c r="AF7" s="1" t="str">
        <f>IF(ISBLANK(Prices!AF5),"",Prices!AF5)</f>
        <v/>
      </c>
      <c r="AG7" s="1" t="str">
        <f>IF(ISBLANK(Prices!AG5),"",Prices!AG5)</f>
        <v/>
      </c>
      <c r="AH7" s="1" t="str">
        <f>IF(ISBLANK(Prices!AH5),"",Prices!AH5)</f>
        <v/>
      </c>
      <c r="AI7" s="1" t="str">
        <f>IF(ISBLANK(Prices!AI5),"",Prices!AI5)</f>
        <v/>
      </c>
      <c r="AJ7" s="1" t="str">
        <f>IF(ISBLANK(Prices!AJ5),"",Prices!AJ5)</f>
        <v/>
      </c>
      <c r="AK7" s="1" t="str">
        <f>IF(ISBLANK(Prices!AK5),"",Prices!AK5)</f>
        <v/>
      </c>
      <c r="AL7" s="1" t="str">
        <f>IF(ISBLANK(Prices!AL5),"",Prices!AL5)</f>
        <v/>
      </c>
      <c r="AM7" s="1" t="str">
        <f>IF(ISBLANK(Prices!AM5),"",Prices!AM5)</f>
        <v/>
      </c>
      <c r="AN7" s="1" t="str">
        <f>IF(ISBLANK(Prices!AN5),"",Prices!AN5)</f>
        <v/>
      </c>
      <c r="AO7" s="1" t="str">
        <f>IF(ISBLANK(Prices!AO5),"",Prices!AO5)</f>
        <v/>
      </c>
      <c r="AP7" s="1" t="str">
        <f>IF(ISBLANK(Prices!AP5),"",Prices!AP5)</f>
        <v/>
      </c>
      <c r="AQ7" s="1" t="str">
        <f>IF(ISBLANK(Prices!AQ5),"",Prices!AQ5)</f>
        <v/>
      </c>
      <c r="AR7" s="1" t="str">
        <f>IF(ISBLANK(Prices!AR5),"",Prices!AR5)</f>
        <v/>
      </c>
      <c r="AS7" s="1" t="str">
        <f>IF(ISBLANK(Prices!AS5),"",Prices!AS5)</f>
        <v/>
      </c>
      <c r="AT7" s="1" t="str">
        <f>IF(ISBLANK(Prices!AT5),"",Prices!AT5)</f>
        <v/>
      </c>
      <c r="AU7" s="1" t="str">
        <f>IF(ISBLANK(Prices!AU5),"",Prices!AU5)</f>
        <v/>
      </c>
      <c r="AV7" s="1" t="str">
        <f>IF(ISBLANK(Prices!AV5),"",Prices!AV5)</f>
        <v/>
      </c>
      <c r="AW7" s="1" t="str">
        <f>IF(ISBLANK(Prices!AW5),"",Prices!AW5)</f>
        <v/>
      </c>
      <c r="AX7" s="1" t="str">
        <f>IF(ISBLANK(Prices!AX5),"",Prices!AX5)</f>
        <v/>
      </c>
      <c r="AY7" s="1" t="str">
        <f>IF(ISBLANK(Prices!AY5),"",Prices!AY5)</f>
        <v/>
      </c>
      <c r="AZ7" s="1" t="str">
        <f>IF(ISBLANK(Prices!AZ5),"",Prices!AZ5)</f>
        <v/>
      </c>
      <c r="BA7" s="1" t="str">
        <f>IF(ISBLANK(Prices!BA5),"",Prices!BA5)</f>
        <v/>
      </c>
      <c r="BB7" s="1" t="str">
        <f>IF(ISBLANK(Prices!BB5),"",Prices!BB5)</f>
        <v/>
      </c>
      <c r="BC7" s="1" t="str">
        <f>IF(ISBLANK(Prices!BC5),"",Prices!BC5)</f>
        <v/>
      </c>
      <c r="BD7" s="1" t="str">
        <f>IF(ISBLANK(Prices!BD5),"",Prices!BD5)</f>
        <v/>
      </c>
      <c r="BE7" s="1" t="str">
        <f>IF(ISBLANK(Prices!BE5),"",Prices!BE5)</f>
        <v/>
      </c>
      <c r="BF7" s="1" t="str">
        <f>IF(ISBLANK(Prices!BF5),"",Prices!BF5)</f>
        <v/>
      </c>
      <c r="BG7" s="1" t="str">
        <f>IF(ISBLANK(Prices!BG5),"",Prices!BG5)</f>
        <v/>
      </c>
      <c r="BH7" s="1" t="str">
        <f>IF(ISBLANK(Prices!BH5),"",Prices!BH5)</f>
        <v/>
      </c>
      <c r="BI7" s="1" t="str">
        <f>IF(ISBLANK(Prices!BI5),"",Prices!BI5)</f>
        <v/>
      </c>
      <c r="BJ7" s="1" t="str">
        <f>IF(ISBLANK(Prices!BJ5),"",Prices!BJ5)</f>
        <v/>
      </c>
      <c r="BK7" s="1" t="str">
        <f>IF(ISBLANK(Prices!BK5),"",Prices!BK5)</f>
        <v/>
      </c>
      <c r="BL7" s="1" t="str">
        <f>IF(ISBLANK(Prices!BL5),"",Prices!BL5)</f>
        <v/>
      </c>
      <c r="BM7" s="1" t="str">
        <f>IF(ISBLANK(Prices!BM5),"",Prices!BM5)</f>
        <v/>
      </c>
      <c r="BN7" s="1" t="str">
        <f>IF(ISBLANK(Prices!BN5),"",Prices!BN5)</f>
        <v/>
      </c>
      <c r="BO7" s="1" t="str">
        <f>IF(ISBLANK(Prices!BO5),"",Prices!BO5)</f>
        <v/>
      </c>
      <c r="BP7" s="1" t="str">
        <f>IF(ISBLANK(Prices!BP5),"",Prices!BP5)</f>
        <v/>
      </c>
      <c r="BQ7" s="1" t="str">
        <f>IF(ISBLANK(Prices!BQ5),"",Prices!BQ5)</f>
        <v/>
      </c>
      <c r="BR7" s="1" t="str">
        <f>IF(ISBLANK(Prices!BR5),"",Prices!BR5)</f>
        <v/>
      </c>
      <c r="BS7" s="1" t="str">
        <f>IF(ISBLANK(Prices!BS5),"",Prices!BS5)</f>
        <v/>
      </c>
      <c r="BT7" s="1" t="str">
        <f>IF(ISBLANK(Prices!BT5),"",Prices!BT5)</f>
        <v/>
      </c>
      <c r="BU7" s="1" t="str">
        <f>IF(ISBLANK(Prices!BU5),"",Prices!BU5)</f>
        <v/>
      </c>
      <c r="BV7" s="1" t="str">
        <f>IF(ISBLANK(Prices!BV5),"",Prices!BV5)</f>
        <v/>
      </c>
      <c r="BW7" s="1" t="str">
        <f>IF(ISBLANK(Prices!BW5),"",Prices!BW5)</f>
        <v/>
      </c>
      <c r="BX7" s="1" t="str">
        <f>IF(ISBLANK(Prices!BX5),"",Prices!BX5)</f>
        <v/>
      </c>
      <c r="BY7" s="1" t="str">
        <f>IF(ISBLANK(Prices!BY5),"",Prices!BY5)</f>
        <v/>
      </c>
      <c r="BZ7" s="1" t="str">
        <f>IF(ISBLANK(Prices!BZ5),"",Prices!BZ5)</f>
        <v/>
      </c>
      <c r="CA7" s="1" t="str">
        <f>IF(ISBLANK(Prices!CA5),"",Prices!CA5)</f>
        <v/>
      </c>
      <c r="CB7" s="1" t="str">
        <f>IF(ISBLANK(Prices!CB5),"",Prices!CB5)</f>
        <v/>
      </c>
      <c r="CC7" s="1" t="str">
        <f>IF(ISBLANK(Prices!CC5),"",Prices!CC5)</f>
        <v/>
      </c>
      <c r="CD7" s="1" t="str">
        <f>IF(ISBLANK(Prices!CD5),"",Prices!CD5)</f>
        <v/>
      </c>
      <c r="CE7" s="1" t="str">
        <f>IF(ISBLANK(Prices!CE5),"",Prices!CE5)</f>
        <v/>
      </c>
      <c r="CF7" s="1" t="str">
        <f>IF(ISBLANK(Prices!CF5),"",Prices!CF5)</f>
        <v/>
      </c>
      <c r="CG7" s="1" t="str">
        <f>IF(ISBLANK(Prices!CG5),"",Prices!CG5)</f>
        <v/>
      </c>
      <c r="CH7" s="1" t="str">
        <f>IF(ISBLANK(Prices!CH5),"",Prices!CH5)</f>
        <v/>
      </c>
      <c r="CI7" s="1" t="str">
        <f>IF(ISBLANK(Prices!CI5),"",Prices!CI5)</f>
        <v/>
      </c>
      <c r="CJ7" s="1" t="str">
        <f>IF(ISBLANK(Prices!CJ5),"",Prices!CJ5)</f>
        <v/>
      </c>
      <c r="CK7" s="1" t="str">
        <f>IF(ISBLANK(Prices!CK5),"",Prices!CK5)</f>
        <v/>
      </c>
      <c r="CL7" s="1" t="str">
        <f>IF(ISBLANK(Prices!CL5),"",Prices!CL5)</f>
        <v/>
      </c>
      <c r="CM7" s="1" t="str">
        <f>IF(ISBLANK(Prices!CM5),"",Prices!CM5)</f>
        <v/>
      </c>
      <c r="CN7" s="1" t="str">
        <f>IF(ISBLANK(Prices!CN5),"",Prices!CN5)</f>
        <v/>
      </c>
    </row>
    <row r="8" spans="1:92" x14ac:dyDescent="0.25">
      <c r="B8" s="1" t="str">
        <f>IF(ISBLANK(Prices!A6),"",Prices!A6)</f>
        <v/>
      </c>
      <c r="C8" s="1" t="str">
        <f>IF(ISBLANK(Prices!C6),"",Prices!C6)</f>
        <v/>
      </c>
      <c r="D8" s="1" t="str">
        <f>IF(ISBLANK(Prices!D6),"",Prices!D6)</f>
        <v/>
      </c>
      <c r="E8" s="1" t="str">
        <f>IF(ISBLANK(Prices!E6),"",Prices!E6)</f>
        <v/>
      </c>
      <c r="F8" s="1" t="str">
        <f>IF(ISBLANK(Prices!F6),"",Prices!F6)</f>
        <v/>
      </c>
      <c r="G8" s="1" t="str">
        <f>IF(ISBLANK(Prices!G6),"",Prices!G6)</f>
        <v/>
      </c>
      <c r="H8" s="1" t="str">
        <f>IF(ISBLANK(Prices!H6),"",Prices!H6)</f>
        <v/>
      </c>
      <c r="I8" s="1" t="str">
        <f>IF(ISBLANK(Prices!I6),"",Prices!I6)</f>
        <v/>
      </c>
      <c r="J8" s="1" t="str">
        <f>IF(ISBLANK(Prices!J6),"",Prices!J6)</f>
        <v/>
      </c>
      <c r="K8" s="1" t="str">
        <f>IF(ISBLANK(Prices!K6),"",Prices!K6)</f>
        <v/>
      </c>
      <c r="L8" s="1" t="str">
        <f>IF(ISBLANK(Prices!L6),"",Prices!L6)</f>
        <v/>
      </c>
      <c r="M8" s="1" t="str">
        <f>IF(ISBLANK(Prices!M6),"",Prices!M6)</f>
        <v/>
      </c>
      <c r="N8" s="1" t="str">
        <f>IF(ISBLANK(Prices!N6),"",Prices!N6)</f>
        <v/>
      </c>
      <c r="O8" s="1" t="str">
        <f>IF(ISBLANK(Prices!O6),"",Prices!O6)</f>
        <v/>
      </c>
      <c r="P8" s="1" t="str">
        <f>IF(ISBLANK(Prices!P6),"",Prices!P6)</f>
        <v/>
      </c>
      <c r="Q8" s="1" t="str">
        <f>IF(ISBLANK(Prices!Q6),"",Prices!Q6)</f>
        <v/>
      </c>
      <c r="R8" s="1" t="str">
        <f>IF(ISBLANK(Prices!R6),"",Prices!R6)</f>
        <v/>
      </c>
      <c r="S8" s="1" t="str">
        <f>IF(ISBLANK(Prices!S6),"",Prices!S6)</f>
        <v/>
      </c>
      <c r="T8" s="1" t="str">
        <f>IF(ISBLANK(Prices!T6),"",Prices!T6)</f>
        <v/>
      </c>
      <c r="U8" s="1" t="str">
        <f>IF(ISBLANK(Prices!U6),"",Prices!U6)</f>
        <v/>
      </c>
      <c r="V8" s="1" t="str">
        <f>IF(ISBLANK(Prices!V6),"",Prices!V6)</f>
        <v/>
      </c>
      <c r="W8" s="1" t="str">
        <f>IF(ISBLANK(Prices!W6),"",Prices!W6)</f>
        <v/>
      </c>
      <c r="X8" s="1" t="str">
        <f>IF(ISBLANK(Prices!X6),"",Prices!X6)</f>
        <v/>
      </c>
      <c r="Y8" s="1" t="str">
        <f>IF(ISBLANK(Prices!Y6),"",Prices!Y6)</f>
        <v/>
      </c>
      <c r="Z8" s="1" t="str">
        <f>IF(ISBLANK(Prices!Z6),"",Prices!Z6)</f>
        <v/>
      </c>
      <c r="AA8" s="1" t="str">
        <f>IF(ISBLANK(Prices!AA6),"",Prices!AA6)</f>
        <v/>
      </c>
      <c r="AB8" s="1" t="str">
        <f>IF(ISBLANK(Prices!AB6),"",Prices!AB6)</f>
        <v/>
      </c>
      <c r="AC8" s="1" t="str">
        <f>IF(ISBLANK(Prices!AC6),"",Prices!AC6)</f>
        <v/>
      </c>
      <c r="AD8" s="1" t="str">
        <f>IF(ISBLANK(Prices!AD6),"",Prices!AD6)</f>
        <v/>
      </c>
      <c r="AE8" s="1" t="str">
        <f>IF(ISBLANK(Prices!AE6),"",Prices!AE6)</f>
        <v/>
      </c>
      <c r="AF8" s="1" t="str">
        <f>IF(ISBLANK(Prices!AF6),"",Prices!AF6)</f>
        <v/>
      </c>
      <c r="AG8" s="1" t="str">
        <f>IF(ISBLANK(Prices!AG6),"",Prices!AG6)</f>
        <v/>
      </c>
      <c r="AH8" s="1" t="str">
        <f>IF(ISBLANK(Prices!AH6),"",Prices!AH6)</f>
        <v/>
      </c>
      <c r="AI8" s="1" t="str">
        <f>IF(ISBLANK(Prices!AI6),"",Prices!AI6)</f>
        <v/>
      </c>
      <c r="AJ8" s="1" t="str">
        <f>IF(ISBLANK(Prices!AJ6),"",Prices!AJ6)</f>
        <v/>
      </c>
      <c r="AK8" s="1" t="str">
        <f>IF(ISBLANK(Prices!AK6),"",Prices!AK6)</f>
        <v/>
      </c>
      <c r="AL8" s="1" t="str">
        <f>IF(ISBLANK(Prices!AL6),"",Prices!AL6)</f>
        <v/>
      </c>
      <c r="AM8" s="1" t="str">
        <f>IF(ISBLANK(Prices!AM6),"",Prices!AM6)</f>
        <v/>
      </c>
      <c r="AN8" s="1" t="str">
        <f>IF(ISBLANK(Prices!AN6),"",Prices!AN6)</f>
        <v/>
      </c>
      <c r="AO8" s="1" t="str">
        <f>IF(ISBLANK(Prices!AO6),"",Prices!AO6)</f>
        <v/>
      </c>
      <c r="AP8" s="1" t="str">
        <f>IF(ISBLANK(Prices!AP6),"",Prices!AP6)</f>
        <v/>
      </c>
      <c r="AQ8" s="1" t="str">
        <f>IF(ISBLANK(Prices!AQ6),"",Prices!AQ6)</f>
        <v/>
      </c>
      <c r="AR8" s="1" t="str">
        <f>IF(ISBLANK(Prices!AR6),"",Prices!AR6)</f>
        <v/>
      </c>
      <c r="AS8" s="1" t="str">
        <f>IF(ISBLANK(Prices!AS6),"",Prices!AS6)</f>
        <v/>
      </c>
      <c r="AT8" s="1" t="str">
        <f>IF(ISBLANK(Prices!AT6),"",Prices!AT6)</f>
        <v/>
      </c>
      <c r="AU8" s="1" t="str">
        <f>IF(ISBLANK(Prices!AU6),"",Prices!AU6)</f>
        <v/>
      </c>
      <c r="AV8" s="1" t="str">
        <f>IF(ISBLANK(Prices!AV6),"",Prices!AV6)</f>
        <v/>
      </c>
      <c r="AW8" s="1" t="str">
        <f>IF(ISBLANK(Prices!AW6),"",Prices!AW6)</f>
        <v/>
      </c>
      <c r="AX8" s="1" t="str">
        <f>IF(ISBLANK(Prices!AX6),"",Prices!AX6)</f>
        <v/>
      </c>
      <c r="AY8" s="1" t="str">
        <f>IF(ISBLANK(Prices!AY6),"",Prices!AY6)</f>
        <v/>
      </c>
      <c r="AZ8" s="1" t="str">
        <f>IF(ISBLANK(Prices!AZ6),"",Prices!AZ6)</f>
        <v/>
      </c>
      <c r="BA8" s="1" t="str">
        <f>IF(ISBLANK(Prices!BA6),"",Prices!BA6)</f>
        <v/>
      </c>
      <c r="BB8" s="1" t="str">
        <f>IF(ISBLANK(Prices!BB6),"",Prices!BB6)</f>
        <v/>
      </c>
      <c r="BC8" s="1" t="str">
        <f>IF(ISBLANK(Prices!BC6),"",Prices!BC6)</f>
        <v/>
      </c>
      <c r="BD8" s="1" t="str">
        <f>IF(ISBLANK(Prices!BD6),"",Prices!BD6)</f>
        <v/>
      </c>
      <c r="BE8" s="1" t="str">
        <f>IF(ISBLANK(Prices!BE6),"",Prices!BE6)</f>
        <v/>
      </c>
      <c r="BF8" s="1" t="str">
        <f>IF(ISBLANK(Prices!BF6),"",Prices!BF6)</f>
        <v/>
      </c>
      <c r="BG8" s="1" t="str">
        <f>IF(ISBLANK(Prices!BG6),"",Prices!BG6)</f>
        <v/>
      </c>
      <c r="BH8" s="1" t="str">
        <f>IF(ISBLANK(Prices!BH6),"",Prices!BH6)</f>
        <v/>
      </c>
      <c r="BI8" s="1" t="str">
        <f>IF(ISBLANK(Prices!BI6),"",Prices!BI6)</f>
        <v/>
      </c>
      <c r="BJ8" s="1" t="str">
        <f>IF(ISBLANK(Prices!BJ6),"",Prices!BJ6)</f>
        <v/>
      </c>
      <c r="BK8" s="1" t="str">
        <f>IF(ISBLANK(Prices!BK6),"",Prices!BK6)</f>
        <v/>
      </c>
      <c r="BL8" s="1" t="str">
        <f>IF(ISBLANK(Prices!BL6),"",Prices!BL6)</f>
        <v/>
      </c>
      <c r="BM8" s="1" t="str">
        <f>IF(ISBLANK(Prices!BM6),"",Prices!BM6)</f>
        <v/>
      </c>
      <c r="BN8" s="1" t="str">
        <f>IF(ISBLANK(Prices!BN6),"",Prices!BN6)</f>
        <v/>
      </c>
      <c r="BO8" s="1" t="str">
        <f>IF(ISBLANK(Prices!BO6),"",Prices!BO6)</f>
        <v/>
      </c>
      <c r="BP8" s="1" t="str">
        <f>IF(ISBLANK(Prices!BP6),"",Prices!BP6)</f>
        <v/>
      </c>
      <c r="BQ8" s="1" t="str">
        <f>IF(ISBLANK(Prices!BQ6),"",Prices!BQ6)</f>
        <v/>
      </c>
      <c r="BR8" s="1" t="str">
        <f>IF(ISBLANK(Prices!BR6),"",Prices!BR6)</f>
        <v/>
      </c>
      <c r="BS8" s="1" t="str">
        <f>IF(ISBLANK(Prices!BS6),"",Prices!BS6)</f>
        <v/>
      </c>
      <c r="BT8" s="1" t="str">
        <f>IF(ISBLANK(Prices!BT6),"",Prices!BT6)</f>
        <v/>
      </c>
      <c r="BU8" s="1" t="str">
        <f>IF(ISBLANK(Prices!BU6),"",Prices!BU6)</f>
        <v/>
      </c>
      <c r="BV8" s="1" t="str">
        <f>IF(ISBLANK(Prices!BV6),"",Prices!BV6)</f>
        <v/>
      </c>
      <c r="BW8" s="1" t="str">
        <f>IF(ISBLANK(Prices!BW6),"",Prices!BW6)</f>
        <v/>
      </c>
      <c r="BX8" s="1" t="str">
        <f>IF(ISBLANK(Prices!BX6),"",Prices!BX6)</f>
        <v/>
      </c>
      <c r="BY8" s="1" t="str">
        <f>IF(ISBLANK(Prices!BY6),"",Prices!BY6)</f>
        <v/>
      </c>
      <c r="BZ8" s="1" t="str">
        <f>IF(ISBLANK(Prices!BZ6),"",Prices!BZ6)</f>
        <v/>
      </c>
      <c r="CA8" s="1" t="str">
        <f>IF(ISBLANK(Prices!CA6),"",Prices!CA6)</f>
        <v/>
      </c>
      <c r="CB8" s="1" t="str">
        <f>IF(ISBLANK(Prices!CB6),"",Prices!CB6)</f>
        <v/>
      </c>
      <c r="CC8" s="1" t="str">
        <f>IF(ISBLANK(Prices!CC6),"",Prices!CC6)</f>
        <v/>
      </c>
      <c r="CD8" s="1" t="str">
        <f>IF(ISBLANK(Prices!CD6),"",Prices!CD6)</f>
        <v/>
      </c>
      <c r="CE8" s="1" t="str">
        <f>IF(ISBLANK(Prices!CE6),"",Prices!CE6)</f>
        <v/>
      </c>
      <c r="CF8" s="1" t="str">
        <f>IF(ISBLANK(Prices!CF6),"",Prices!CF6)</f>
        <v/>
      </c>
      <c r="CG8" s="1" t="str">
        <f>IF(ISBLANK(Prices!CG6),"",Prices!CG6)</f>
        <v/>
      </c>
      <c r="CH8" s="1" t="str">
        <f>IF(ISBLANK(Prices!CH6),"",Prices!CH6)</f>
        <v/>
      </c>
      <c r="CI8" s="1" t="str">
        <f>IF(ISBLANK(Prices!CI6),"",Prices!CI6)</f>
        <v/>
      </c>
      <c r="CJ8" s="1" t="str">
        <f>IF(ISBLANK(Prices!CJ6),"",Prices!CJ6)</f>
        <v/>
      </c>
      <c r="CK8" s="1" t="str">
        <f>IF(ISBLANK(Prices!CK6),"",Prices!CK6)</f>
        <v/>
      </c>
      <c r="CL8" s="1" t="str">
        <f>IF(ISBLANK(Prices!CL6),"",Prices!CL6)</f>
        <v/>
      </c>
      <c r="CM8" s="1" t="str">
        <f>IF(ISBLANK(Prices!CM6),"",Prices!CM6)</f>
        <v/>
      </c>
      <c r="CN8" s="1" t="str">
        <f>IF(ISBLANK(Prices!CN6),"",Prices!CN6)</f>
        <v/>
      </c>
    </row>
    <row r="9" spans="1:92" x14ac:dyDescent="0.25">
      <c r="B9" s="1" t="str">
        <f>IF(ISBLANK(Prices!A7),"",Prices!A7)</f>
        <v/>
      </c>
      <c r="C9" s="1" t="str">
        <f>IF(ISBLANK(Prices!C7),"",Prices!C7)</f>
        <v/>
      </c>
      <c r="D9" s="1" t="str">
        <f>IF(ISBLANK(Prices!D7),"",Prices!D7)</f>
        <v/>
      </c>
      <c r="E9" s="1" t="str">
        <f>IF(ISBLANK(Prices!E7),"",Prices!E7)</f>
        <v/>
      </c>
      <c r="F9" s="1" t="str">
        <f>IF(ISBLANK(Prices!F7),"",Prices!F7)</f>
        <v/>
      </c>
      <c r="G9" s="1" t="str">
        <f>IF(ISBLANK(Prices!G7),"",Prices!G7)</f>
        <v/>
      </c>
      <c r="H9" s="1" t="str">
        <f>IF(ISBLANK(Prices!H7),"",Prices!H7)</f>
        <v/>
      </c>
      <c r="I9" s="1" t="str">
        <f>IF(ISBLANK(Prices!I7),"",Prices!I7)</f>
        <v/>
      </c>
      <c r="J9" s="1" t="str">
        <f>IF(ISBLANK(Prices!J7),"",Prices!J7)</f>
        <v/>
      </c>
      <c r="K9" s="1" t="str">
        <f>IF(ISBLANK(Prices!K7),"",Prices!K7)</f>
        <v/>
      </c>
      <c r="L9" s="1" t="str">
        <f>IF(ISBLANK(Prices!L7),"",Prices!L7)</f>
        <v/>
      </c>
      <c r="M9" s="1" t="str">
        <f>IF(ISBLANK(Prices!M7),"",Prices!M7)</f>
        <v/>
      </c>
      <c r="N9" s="1" t="str">
        <f>IF(ISBLANK(Prices!N7),"",Prices!N7)</f>
        <v/>
      </c>
      <c r="O9" s="1" t="str">
        <f>IF(ISBLANK(Prices!O7),"",Prices!O7)</f>
        <v/>
      </c>
      <c r="P9" s="1" t="str">
        <f>IF(ISBLANK(Prices!P7),"",Prices!P7)</f>
        <v/>
      </c>
      <c r="Q9" s="1" t="str">
        <f>IF(ISBLANK(Prices!Q7),"",Prices!Q7)</f>
        <v/>
      </c>
      <c r="R9" s="1" t="str">
        <f>IF(ISBLANK(Prices!R7),"",Prices!R7)</f>
        <v/>
      </c>
      <c r="S9" s="1" t="str">
        <f>IF(ISBLANK(Prices!S7),"",Prices!S7)</f>
        <v/>
      </c>
      <c r="T9" s="1" t="str">
        <f>IF(ISBLANK(Prices!T7),"",Prices!T7)</f>
        <v/>
      </c>
      <c r="U9" s="1" t="str">
        <f>IF(ISBLANK(Prices!U7),"",Prices!U7)</f>
        <v/>
      </c>
      <c r="V9" s="1" t="str">
        <f>IF(ISBLANK(Prices!V7),"",Prices!V7)</f>
        <v/>
      </c>
      <c r="W9" s="1" t="str">
        <f>IF(ISBLANK(Prices!W7),"",Prices!W7)</f>
        <v/>
      </c>
      <c r="X9" s="1" t="str">
        <f>IF(ISBLANK(Prices!X7),"",Prices!X7)</f>
        <v/>
      </c>
      <c r="Y9" s="1" t="str">
        <f>IF(ISBLANK(Prices!Y7),"",Prices!Y7)</f>
        <v/>
      </c>
      <c r="Z9" s="1" t="str">
        <f>IF(ISBLANK(Prices!Z7),"",Prices!Z7)</f>
        <v/>
      </c>
      <c r="AA9" s="1" t="str">
        <f>IF(ISBLANK(Prices!AA7),"",Prices!AA7)</f>
        <v/>
      </c>
      <c r="AB9" s="1" t="str">
        <f>IF(ISBLANK(Prices!AB7),"",Prices!AB7)</f>
        <v/>
      </c>
      <c r="AC9" s="1" t="str">
        <f>IF(ISBLANK(Prices!AC7),"",Prices!AC7)</f>
        <v/>
      </c>
      <c r="AD9" s="1" t="str">
        <f>IF(ISBLANK(Prices!AD7),"",Prices!AD7)</f>
        <v/>
      </c>
      <c r="AE9" s="1" t="str">
        <f>IF(ISBLANK(Prices!AE7),"",Prices!AE7)</f>
        <v/>
      </c>
      <c r="AF9" s="1" t="str">
        <f>IF(ISBLANK(Prices!AF7),"",Prices!AF7)</f>
        <v/>
      </c>
      <c r="AG9" s="1" t="str">
        <f>IF(ISBLANK(Prices!AG7),"",Prices!AG7)</f>
        <v/>
      </c>
      <c r="AH9" s="1" t="str">
        <f>IF(ISBLANK(Prices!AH7),"",Prices!AH7)</f>
        <v/>
      </c>
      <c r="AI9" s="1" t="str">
        <f>IF(ISBLANK(Prices!AI7),"",Prices!AI7)</f>
        <v/>
      </c>
      <c r="AJ9" s="1" t="str">
        <f>IF(ISBLANK(Prices!AJ7),"",Prices!AJ7)</f>
        <v/>
      </c>
      <c r="AK9" s="1" t="str">
        <f>IF(ISBLANK(Prices!AK7),"",Prices!AK7)</f>
        <v/>
      </c>
      <c r="AL9" s="1" t="str">
        <f>IF(ISBLANK(Prices!AL7),"",Prices!AL7)</f>
        <v/>
      </c>
      <c r="AM9" s="1" t="str">
        <f>IF(ISBLANK(Prices!AM7),"",Prices!AM7)</f>
        <v/>
      </c>
      <c r="AN9" s="1" t="str">
        <f>IF(ISBLANK(Prices!AN7),"",Prices!AN7)</f>
        <v/>
      </c>
      <c r="AO9" s="1" t="str">
        <f>IF(ISBLANK(Prices!AO7),"",Prices!AO7)</f>
        <v/>
      </c>
      <c r="AP9" s="1" t="str">
        <f>IF(ISBLANK(Prices!AP7),"",Prices!AP7)</f>
        <v/>
      </c>
      <c r="AQ9" s="1" t="str">
        <f>IF(ISBLANK(Prices!AQ7),"",Prices!AQ7)</f>
        <v/>
      </c>
      <c r="AR9" s="1" t="str">
        <f>IF(ISBLANK(Prices!AR7),"",Prices!AR7)</f>
        <v/>
      </c>
      <c r="AS9" s="1" t="str">
        <f>IF(ISBLANK(Prices!AS7),"",Prices!AS7)</f>
        <v/>
      </c>
      <c r="AT9" s="1" t="str">
        <f>IF(ISBLANK(Prices!AT7),"",Prices!AT7)</f>
        <v/>
      </c>
      <c r="AU9" s="1" t="str">
        <f>IF(ISBLANK(Prices!AU7),"",Prices!AU7)</f>
        <v/>
      </c>
      <c r="AV9" s="1" t="str">
        <f>IF(ISBLANK(Prices!AV7),"",Prices!AV7)</f>
        <v/>
      </c>
      <c r="AW9" s="1" t="str">
        <f>IF(ISBLANK(Prices!AW7),"",Prices!AW7)</f>
        <v/>
      </c>
      <c r="AX9" s="1" t="str">
        <f>IF(ISBLANK(Prices!AX7),"",Prices!AX7)</f>
        <v/>
      </c>
      <c r="AY9" s="1" t="str">
        <f>IF(ISBLANK(Prices!AY7),"",Prices!AY7)</f>
        <v/>
      </c>
      <c r="AZ9" s="1" t="str">
        <f>IF(ISBLANK(Prices!AZ7),"",Prices!AZ7)</f>
        <v/>
      </c>
      <c r="BA9" s="1" t="str">
        <f>IF(ISBLANK(Prices!BA7),"",Prices!BA7)</f>
        <v/>
      </c>
      <c r="BB9" s="1" t="str">
        <f>IF(ISBLANK(Prices!BB7),"",Prices!BB7)</f>
        <v/>
      </c>
      <c r="BC9" s="1" t="str">
        <f>IF(ISBLANK(Prices!BC7),"",Prices!BC7)</f>
        <v/>
      </c>
      <c r="BD9" s="1" t="str">
        <f>IF(ISBLANK(Prices!BD7),"",Prices!BD7)</f>
        <v/>
      </c>
      <c r="BE9" s="1" t="str">
        <f>IF(ISBLANK(Prices!BE7),"",Prices!BE7)</f>
        <v/>
      </c>
      <c r="BF9" s="1" t="str">
        <f>IF(ISBLANK(Prices!BF7),"",Prices!BF7)</f>
        <v/>
      </c>
      <c r="BG9" s="1" t="str">
        <f>IF(ISBLANK(Prices!BG7),"",Prices!BG7)</f>
        <v/>
      </c>
      <c r="BH9" s="1" t="str">
        <f>IF(ISBLANK(Prices!BH7),"",Prices!BH7)</f>
        <v/>
      </c>
      <c r="BI9" s="1" t="str">
        <f>IF(ISBLANK(Prices!BI7),"",Prices!BI7)</f>
        <v/>
      </c>
      <c r="BJ9" s="1" t="str">
        <f>IF(ISBLANK(Prices!BJ7),"",Prices!BJ7)</f>
        <v/>
      </c>
      <c r="BK9" s="1" t="str">
        <f>IF(ISBLANK(Prices!BK7),"",Prices!BK7)</f>
        <v/>
      </c>
      <c r="BL9" s="1" t="str">
        <f>IF(ISBLANK(Prices!BL7),"",Prices!BL7)</f>
        <v/>
      </c>
      <c r="BM9" s="1" t="str">
        <f>IF(ISBLANK(Prices!BM7),"",Prices!BM7)</f>
        <v/>
      </c>
      <c r="BN9" s="1" t="str">
        <f>IF(ISBLANK(Prices!BN7),"",Prices!BN7)</f>
        <v/>
      </c>
      <c r="BO9" s="1" t="str">
        <f>IF(ISBLANK(Prices!BO7),"",Prices!BO7)</f>
        <v/>
      </c>
      <c r="BP9" s="1" t="str">
        <f>IF(ISBLANK(Prices!BP7),"",Prices!BP7)</f>
        <v/>
      </c>
      <c r="BQ9" s="1" t="str">
        <f>IF(ISBLANK(Prices!BQ7),"",Prices!BQ7)</f>
        <v/>
      </c>
      <c r="BR9" s="1" t="str">
        <f>IF(ISBLANK(Prices!BR7),"",Prices!BR7)</f>
        <v/>
      </c>
      <c r="BS9" s="1" t="str">
        <f>IF(ISBLANK(Prices!BS7),"",Prices!BS7)</f>
        <v/>
      </c>
      <c r="BT9" s="1" t="str">
        <f>IF(ISBLANK(Prices!BT7),"",Prices!BT7)</f>
        <v/>
      </c>
      <c r="BU9" s="1" t="str">
        <f>IF(ISBLANK(Prices!BU7),"",Prices!BU7)</f>
        <v/>
      </c>
      <c r="BV9" s="1" t="str">
        <f>IF(ISBLANK(Prices!BV7),"",Prices!BV7)</f>
        <v/>
      </c>
      <c r="BW9" s="1" t="str">
        <f>IF(ISBLANK(Prices!BW7),"",Prices!BW7)</f>
        <v/>
      </c>
      <c r="BX9" s="1" t="str">
        <f>IF(ISBLANK(Prices!BX7),"",Prices!BX7)</f>
        <v/>
      </c>
      <c r="BY9" s="1" t="str">
        <f>IF(ISBLANK(Prices!BY7),"",Prices!BY7)</f>
        <v/>
      </c>
      <c r="BZ9" s="1" t="str">
        <f>IF(ISBLANK(Prices!BZ7),"",Prices!BZ7)</f>
        <v/>
      </c>
      <c r="CA9" s="1" t="str">
        <f>IF(ISBLANK(Prices!CA7),"",Prices!CA7)</f>
        <v/>
      </c>
      <c r="CB9" s="1" t="str">
        <f>IF(ISBLANK(Prices!CB7),"",Prices!CB7)</f>
        <v/>
      </c>
      <c r="CC9" s="1" t="str">
        <f>IF(ISBLANK(Prices!CC7),"",Prices!CC7)</f>
        <v/>
      </c>
      <c r="CD9" s="1" t="str">
        <f>IF(ISBLANK(Prices!CD7),"",Prices!CD7)</f>
        <v/>
      </c>
      <c r="CE9" s="1" t="str">
        <f>IF(ISBLANK(Prices!CE7),"",Prices!CE7)</f>
        <v/>
      </c>
      <c r="CF9" s="1" t="str">
        <f>IF(ISBLANK(Prices!CF7),"",Prices!CF7)</f>
        <v/>
      </c>
      <c r="CG9" s="1" t="str">
        <f>IF(ISBLANK(Prices!CG7),"",Prices!CG7)</f>
        <v/>
      </c>
      <c r="CH9" s="1" t="str">
        <f>IF(ISBLANK(Prices!CH7),"",Prices!CH7)</f>
        <v/>
      </c>
      <c r="CI9" s="1" t="str">
        <f>IF(ISBLANK(Prices!CI7),"",Prices!CI7)</f>
        <v/>
      </c>
      <c r="CJ9" s="1" t="str">
        <f>IF(ISBLANK(Prices!CJ7),"",Prices!CJ7)</f>
        <v/>
      </c>
      <c r="CK9" s="1" t="str">
        <f>IF(ISBLANK(Prices!CK7),"",Prices!CK7)</f>
        <v/>
      </c>
      <c r="CL9" s="1" t="str">
        <f>IF(ISBLANK(Prices!CL7),"",Prices!CL7)</f>
        <v/>
      </c>
      <c r="CM9" s="1" t="str">
        <f>IF(ISBLANK(Prices!CM7),"",Prices!CM7)</f>
        <v/>
      </c>
      <c r="CN9" s="1" t="str">
        <f>IF(ISBLANK(Prices!CN7),"",Prices!CN7)</f>
        <v/>
      </c>
    </row>
    <row r="10" spans="1:92" x14ac:dyDescent="0.25">
      <c r="B10" s="1" t="str">
        <f>IF(ISBLANK(Prices!A8),"",Prices!A8)</f>
        <v/>
      </c>
      <c r="C10" s="1" t="str">
        <f>IF(ISBLANK(Prices!C8),"",Prices!C8)</f>
        <v/>
      </c>
      <c r="D10" s="1" t="str">
        <f>IF(ISBLANK(Prices!D8),"",Prices!D8)</f>
        <v/>
      </c>
      <c r="E10" s="1" t="str">
        <f>IF(ISBLANK(Prices!E8),"",Prices!E8)</f>
        <v/>
      </c>
      <c r="F10" s="1" t="str">
        <f>IF(ISBLANK(Prices!F8),"",Prices!F8)</f>
        <v/>
      </c>
      <c r="G10" s="1" t="str">
        <f>IF(ISBLANK(Prices!G8),"",Prices!G8)</f>
        <v/>
      </c>
      <c r="H10" s="1" t="str">
        <f>IF(ISBLANK(Prices!H8),"",Prices!H8)</f>
        <v/>
      </c>
      <c r="I10" s="1" t="str">
        <f>IF(ISBLANK(Prices!I8),"",Prices!I8)</f>
        <v/>
      </c>
      <c r="J10" s="1" t="str">
        <f>IF(ISBLANK(Prices!J8),"",Prices!J8)</f>
        <v/>
      </c>
      <c r="K10" s="1" t="str">
        <f>IF(ISBLANK(Prices!K8),"",Prices!K8)</f>
        <v/>
      </c>
      <c r="L10" s="1" t="str">
        <f>IF(ISBLANK(Prices!L8),"",Prices!L8)</f>
        <v/>
      </c>
      <c r="M10" s="1" t="str">
        <f>IF(ISBLANK(Prices!M8),"",Prices!M8)</f>
        <v/>
      </c>
      <c r="N10" s="1" t="str">
        <f>IF(ISBLANK(Prices!N8),"",Prices!N8)</f>
        <v/>
      </c>
      <c r="O10" s="1" t="str">
        <f>IF(ISBLANK(Prices!O8),"",Prices!O8)</f>
        <v/>
      </c>
      <c r="P10" s="1" t="str">
        <f>IF(ISBLANK(Prices!P8),"",Prices!P8)</f>
        <v/>
      </c>
      <c r="Q10" s="1" t="str">
        <f>IF(ISBLANK(Prices!Q8),"",Prices!Q8)</f>
        <v/>
      </c>
      <c r="R10" s="1" t="str">
        <f>IF(ISBLANK(Prices!R8),"",Prices!R8)</f>
        <v/>
      </c>
      <c r="S10" s="1" t="str">
        <f>IF(ISBLANK(Prices!S8),"",Prices!S8)</f>
        <v/>
      </c>
      <c r="T10" s="1" t="str">
        <f>IF(ISBLANK(Prices!T8),"",Prices!T8)</f>
        <v/>
      </c>
      <c r="U10" s="1" t="str">
        <f>IF(ISBLANK(Prices!U8),"",Prices!U8)</f>
        <v/>
      </c>
      <c r="V10" s="1" t="str">
        <f>IF(ISBLANK(Prices!V8),"",Prices!V8)</f>
        <v/>
      </c>
      <c r="W10" s="1" t="str">
        <f>IF(ISBLANK(Prices!W8),"",Prices!W8)</f>
        <v/>
      </c>
      <c r="X10" s="1" t="str">
        <f>IF(ISBLANK(Prices!X8),"",Prices!X8)</f>
        <v/>
      </c>
      <c r="Y10" s="1" t="str">
        <f>IF(ISBLANK(Prices!Y8),"",Prices!Y8)</f>
        <v/>
      </c>
      <c r="Z10" s="1" t="str">
        <f>IF(ISBLANK(Prices!Z8),"",Prices!Z8)</f>
        <v/>
      </c>
      <c r="AA10" s="1" t="str">
        <f>IF(ISBLANK(Prices!AA8),"",Prices!AA8)</f>
        <v/>
      </c>
      <c r="AB10" s="1" t="str">
        <f>IF(ISBLANK(Prices!AB8),"",Prices!AB8)</f>
        <v/>
      </c>
      <c r="AC10" s="1" t="str">
        <f>IF(ISBLANK(Prices!AC8),"",Prices!AC8)</f>
        <v/>
      </c>
      <c r="AD10" s="1" t="str">
        <f>IF(ISBLANK(Prices!AD8),"",Prices!AD8)</f>
        <v/>
      </c>
      <c r="AE10" s="1" t="str">
        <f>IF(ISBLANK(Prices!AE8),"",Prices!AE8)</f>
        <v/>
      </c>
      <c r="AF10" s="1" t="str">
        <f>IF(ISBLANK(Prices!AF8),"",Prices!AF8)</f>
        <v/>
      </c>
      <c r="AG10" s="1" t="str">
        <f>IF(ISBLANK(Prices!AG8),"",Prices!AG8)</f>
        <v/>
      </c>
      <c r="AH10" s="1" t="str">
        <f>IF(ISBLANK(Prices!AH8),"",Prices!AH8)</f>
        <v/>
      </c>
      <c r="AI10" s="1" t="str">
        <f>IF(ISBLANK(Prices!AI8),"",Prices!AI8)</f>
        <v/>
      </c>
      <c r="AJ10" s="1" t="str">
        <f>IF(ISBLANK(Prices!AJ8),"",Prices!AJ8)</f>
        <v/>
      </c>
      <c r="AK10" s="1" t="str">
        <f>IF(ISBLANK(Prices!AK8),"",Prices!AK8)</f>
        <v/>
      </c>
      <c r="AL10" s="1" t="str">
        <f>IF(ISBLANK(Prices!AL8),"",Prices!AL8)</f>
        <v/>
      </c>
      <c r="AM10" s="1" t="str">
        <f>IF(ISBLANK(Prices!AM8),"",Prices!AM8)</f>
        <v/>
      </c>
      <c r="AN10" s="1" t="str">
        <f>IF(ISBLANK(Prices!AN8),"",Prices!AN8)</f>
        <v/>
      </c>
      <c r="AO10" s="1" t="str">
        <f>IF(ISBLANK(Prices!AO8),"",Prices!AO8)</f>
        <v/>
      </c>
      <c r="AP10" s="1" t="str">
        <f>IF(ISBLANK(Prices!AP8),"",Prices!AP8)</f>
        <v/>
      </c>
      <c r="AQ10" s="1" t="str">
        <f>IF(ISBLANK(Prices!AQ8),"",Prices!AQ8)</f>
        <v/>
      </c>
      <c r="AR10" s="1" t="str">
        <f>IF(ISBLANK(Prices!AR8),"",Prices!AR8)</f>
        <v/>
      </c>
      <c r="AS10" s="1" t="str">
        <f>IF(ISBLANK(Prices!AS8),"",Prices!AS8)</f>
        <v/>
      </c>
      <c r="AT10" s="1" t="str">
        <f>IF(ISBLANK(Prices!AT8),"",Prices!AT8)</f>
        <v/>
      </c>
      <c r="AU10" s="1" t="str">
        <f>IF(ISBLANK(Prices!AU8),"",Prices!AU8)</f>
        <v/>
      </c>
      <c r="AV10" s="1" t="str">
        <f>IF(ISBLANK(Prices!AV8),"",Prices!AV8)</f>
        <v/>
      </c>
      <c r="AW10" s="1" t="str">
        <f>IF(ISBLANK(Prices!AW8),"",Prices!AW8)</f>
        <v/>
      </c>
      <c r="AX10" s="1" t="str">
        <f>IF(ISBLANK(Prices!AX8),"",Prices!AX8)</f>
        <v/>
      </c>
      <c r="AY10" s="1" t="str">
        <f>IF(ISBLANK(Prices!AY8),"",Prices!AY8)</f>
        <v/>
      </c>
      <c r="AZ10" s="1" t="str">
        <f>IF(ISBLANK(Prices!AZ8),"",Prices!AZ8)</f>
        <v/>
      </c>
      <c r="BA10" s="1" t="str">
        <f>IF(ISBLANK(Prices!BA8),"",Prices!BA8)</f>
        <v/>
      </c>
      <c r="BB10" s="1" t="str">
        <f>IF(ISBLANK(Prices!BB8),"",Prices!BB8)</f>
        <v/>
      </c>
      <c r="BC10" s="1" t="str">
        <f>IF(ISBLANK(Prices!BC8),"",Prices!BC8)</f>
        <v/>
      </c>
      <c r="BD10" s="1" t="str">
        <f>IF(ISBLANK(Prices!BD8),"",Prices!BD8)</f>
        <v/>
      </c>
      <c r="BE10" s="1" t="str">
        <f>IF(ISBLANK(Prices!BE8),"",Prices!BE8)</f>
        <v/>
      </c>
      <c r="BF10" s="1" t="str">
        <f>IF(ISBLANK(Prices!BF8),"",Prices!BF8)</f>
        <v/>
      </c>
      <c r="BG10" s="1" t="str">
        <f>IF(ISBLANK(Prices!BG8),"",Prices!BG8)</f>
        <v/>
      </c>
      <c r="BH10" s="1" t="str">
        <f>IF(ISBLANK(Prices!BH8),"",Prices!BH8)</f>
        <v/>
      </c>
      <c r="BI10" s="1" t="str">
        <f>IF(ISBLANK(Prices!BI8),"",Prices!BI8)</f>
        <v/>
      </c>
      <c r="BJ10" s="1" t="str">
        <f>IF(ISBLANK(Prices!BJ8),"",Prices!BJ8)</f>
        <v/>
      </c>
      <c r="BK10" s="1" t="str">
        <f>IF(ISBLANK(Prices!BK8),"",Prices!BK8)</f>
        <v/>
      </c>
      <c r="BL10" s="1" t="str">
        <f>IF(ISBLANK(Prices!BL8),"",Prices!BL8)</f>
        <v/>
      </c>
      <c r="BM10" s="1" t="str">
        <f>IF(ISBLANK(Prices!BM8),"",Prices!BM8)</f>
        <v/>
      </c>
      <c r="BN10" s="1" t="str">
        <f>IF(ISBLANK(Prices!BN8),"",Prices!BN8)</f>
        <v/>
      </c>
      <c r="BO10" s="1" t="str">
        <f>IF(ISBLANK(Prices!BO8),"",Prices!BO8)</f>
        <v/>
      </c>
      <c r="BP10" s="1" t="str">
        <f>IF(ISBLANK(Prices!BP8),"",Prices!BP8)</f>
        <v/>
      </c>
      <c r="BQ10" s="1" t="str">
        <f>IF(ISBLANK(Prices!BQ8),"",Prices!BQ8)</f>
        <v/>
      </c>
      <c r="BR10" s="1" t="str">
        <f>IF(ISBLANK(Prices!BR8),"",Prices!BR8)</f>
        <v/>
      </c>
      <c r="BS10" s="1" t="str">
        <f>IF(ISBLANK(Prices!BS8),"",Prices!BS8)</f>
        <v/>
      </c>
      <c r="BT10" s="1" t="str">
        <f>IF(ISBLANK(Prices!BT8),"",Prices!BT8)</f>
        <v/>
      </c>
      <c r="BU10" s="1" t="str">
        <f>IF(ISBLANK(Prices!BU8),"",Prices!BU8)</f>
        <v/>
      </c>
      <c r="BV10" s="1" t="str">
        <f>IF(ISBLANK(Prices!BV8),"",Prices!BV8)</f>
        <v/>
      </c>
      <c r="BW10" s="1" t="str">
        <f>IF(ISBLANK(Prices!BW8),"",Prices!BW8)</f>
        <v/>
      </c>
      <c r="BX10" s="1" t="str">
        <f>IF(ISBLANK(Prices!BX8),"",Prices!BX8)</f>
        <v/>
      </c>
      <c r="BY10" s="1" t="str">
        <f>IF(ISBLANK(Prices!BY8),"",Prices!BY8)</f>
        <v/>
      </c>
      <c r="BZ10" s="1" t="str">
        <f>IF(ISBLANK(Prices!BZ8),"",Prices!BZ8)</f>
        <v/>
      </c>
      <c r="CA10" s="1" t="str">
        <f>IF(ISBLANK(Prices!CA8),"",Prices!CA8)</f>
        <v/>
      </c>
      <c r="CB10" s="1" t="str">
        <f>IF(ISBLANK(Prices!CB8),"",Prices!CB8)</f>
        <v/>
      </c>
      <c r="CC10" s="1" t="str">
        <f>IF(ISBLANK(Prices!CC8),"",Prices!CC8)</f>
        <v/>
      </c>
      <c r="CD10" s="1" t="str">
        <f>IF(ISBLANK(Prices!CD8),"",Prices!CD8)</f>
        <v/>
      </c>
      <c r="CE10" s="1" t="str">
        <f>IF(ISBLANK(Prices!CE8),"",Prices!CE8)</f>
        <v/>
      </c>
      <c r="CF10" s="1" t="str">
        <f>IF(ISBLANK(Prices!CF8),"",Prices!CF8)</f>
        <v/>
      </c>
      <c r="CG10" s="1" t="str">
        <f>IF(ISBLANK(Prices!CG8),"",Prices!CG8)</f>
        <v/>
      </c>
      <c r="CH10" s="1" t="str">
        <f>IF(ISBLANK(Prices!CH8),"",Prices!CH8)</f>
        <v/>
      </c>
      <c r="CI10" s="1" t="str">
        <f>IF(ISBLANK(Prices!CI8),"",Prices!CI8)</f>
        <v/>
      </c>
      <c r="CJ10" s="1" t="str">
        <f>IF(ISBLANK(Prices!CJ8),"",Prices!CJ8)</f>
        <v/>
      </c>
      <c r="CK10" s="1" t="str">
        <f>IF(ISBLANK(Prices!CK8),"",Prices!CK8)</f>
        <v/>
      </c>
      <c r="CL10" s="1" t="str">
        <f>IF(ISBLANK(Prices!CL8),"",Prices!CL8)</f>
        <v/>
      </c>
      <c r="CM10" s="1" t="str">
        <f>IF(ISBLANK(Prices!CM8),"",Prices!CM8)</f>
        <v/>
      </c>
      <c r="CN10" s="1" t="str">
        <f>IF(ISBLANK(Prices!CN8),"",Prices!CN8)</f>
        <v/>
      </c>
    </row>
    <row r="11" spans="1:92" x14ac:dyDescent="0.25">
      <c r="B11" s="1" t="str">
        <f>IF(ISBLANK(Prices!A9),"",Prices!A9)</f>
        <v/>
      </c>
      <c r="C11" s="1" t="str">
        <f>IF(ISBLANK(Prices!C9),"",Prices!C9)</f>
        <v/>
      </c>
      <c r="D11" s="1" t="str">
        <f>IF(ISBLANK(Prices!D9),"",Prices!D9)</f>
        <v/>
      </c>
      <c r="E11" s="1" t="str">
        <f>IF(ISBLANK(Prices!E9),"",Prices!E9)</f>
        <v/>
      </c>
      <c r="F11" s="1" t="str">
        <f>IF(ISBLANK(Prices!F9),"",Prices!F9)</f>
        <v/>
      </c>
      <c r="G11" s="1" t="str">
        <f>IF(ISBLANK(Prices!G9),"",Prices!G9)</f>
        <v/>
      </c>
      <c r="H11" s="1" t="str">
        <f>IF(ISBLANK(Prices!H9),"",Prices!H9)</f>
        <v/>
      </c>
      <c r="I11" s="1" t="str">
        <f>IF(ISBLANK(Prices!I9),"",Prices!I9)</f>
        <v/>
      </c>
      <c r="J11" s="1" t="str">
        <f>IF(ISBLANK(Prices!J9),"",Prices!J9)</f>
        <v/>
      </c>
      <c r="K11" s="1" t="str">
        <f>IF(ISBLANK(Prices!K9),"",Prices!K9)</f>
        <v/>
      </c>
      <c r="L11" s="1" t="str">
        <f>IF(ISBLANK(Prices!L9),"",Prices!L9)</f>
        <v/>
      </c>
      <c r="M11" s="1" t="str">
        <f>IF(ISBLANK(Prices!M9),"",Prices!M9)</f>
        <v/>
      </c>
      <c r="N11" s="1" t="str">
        <f>IF(ISBLANK(Prices!N9),"",Prices!N9)</f>
        <v/>
      </c>
      <c r="O11" s="1" t="str">
        <f>IF(ISBLANK(Prices!O9),"",Prices!O9)</f>
        <v/>
      </c>
      <c r="P11" s="1" t="str">
        <f>IF(ISBLANK(Prices!P9),"",Prices!P9)</f>
        <v/>
      </c>
      <c r="Q11" s="1" t="str">
        <f>IF(ISBLANK(Prices!Q9),"",Prices!Q9)</f>
        <v/>
      </c>
      <c r="R11" s="1" t="str">
        <f>IF(ISBLANK(Prices!R9),"",Prices!R9)</f>
        <v/>
      </c>
      <c r="S11" s="1" t="str">
        <f>IF(ISBLANK(Prices!S9),"",Prices!S9)</f>
        <v/>
      </c>
      <c r="T11" s="1" t="str">
        <f>IF(ISBLANK(Prices!T9),"",Prices!T9)</f>
        <v/>
      </c>
      <c r="U11" s="1" t="str">
        <f>IF(ISBLANK(Prices!U9),"",Prices!U9)</f>
        <v/>
      </c>
      <c r="V11" s="1" t="str">
        <f>IF(ISBLANK(Prices!V9),"",Prices!V9)</f>
        <v/>
      </c>
      <c r="W11" s="1" t="str">
        <f>IF(ISBLANK(Prices!W9),"",Prices!W9)</f>
        <v/>
      </c>
      <c r="X11" s="1" t="str">
        <f>IF(ISBLANK(Prices!X9),"",Prices!X9)</f>
        <v/>
      </c>
      <c r="Y11" s="1" t="str">
        <f>IF(ISBLANK(Prices!Y9),"",Prices!Y9)</f>
        <v/>
      </c>
      <c r="Z11" s="1" t="str">
        <f>IF(ISBLANK(Prices!Z9),"",Prices!Z9)</f>
        <v/>
      </c>
      <c r="AA11" s="1" t="str">
        <f>IF(ISBLANK(Prices!AA9),"",Prices!AA9)</f>
        <v/>
      </c>
      <c r="AB11" s="1" t="str">
        <f>IF(ISBLANK(Prices!AB9),"",Prices!AB9)</f>
        <v/>
      </c>
      <c r="AC11" s="1" t="str">
        <f>IF(ISBLANK(Prices!AC9),"",Prices!AC9)</f>
        <v/>
      </c>
      <c r="AD11" s="1" t="str">
        <f>IF(ISBLANK(Prices!AD9),"",Prices!AD9)</f>
        <v/>
      </c>
      <c r="AE11" s="1" t="str">
        <f>IF(ISBLANK(Prices!AE9),"",Prices!AE9)</f>
        <v/>
      </c>
      <c r="AF11" s="1" t="str">
        <f>IF(ISBLANK(Prices!AF9),"",Prices!AF9)</f>
        <v/>
      </c>
      <c r="AG11" s="1" t="str">
        <f>IF(ISBLANK(Prices!AG9),"",Prices!AG9)</f>
        <v/>
      </c>
      <c r="AH11" s="1" t="str">
        <f>IF(ISBLANK(Prices!AH9),"",Prices!AH9)</f>
        <v/>
      </c>
      <c r="AI11" s="1" t="str">
        <f>IF(ISBLANK(Prices!AI9),"",Prices!AI9)</f>
        <v/>
      </c>
      <c r="AJ11" s="1" t="str">
        <f>IF(ISBLANK(Prices!AJ9),"",Prices!AJ9)</f>
        <v/>
      </c>
      <c r="AK11" s="1" t="str">
        <f>IF(ISBLANK(Prices!AK9),"",Prices!AK9)</f>
        <v/>
      </c>
      <c r="AL11" s="1" t="str">
        <f>IF(ISBLANK(Prices!AL9),"",Prices!AL9)</f>
        <v/>
      </c>
      <c r="AM11" s="1" t="str">
        <f>IF(ISBLANK(Prices!AM9),"",Prices!AM9)</f>
        <v/>
      </c>
      <c r="AN11" s="1" t="str">
        <f>IF(ISBLANK(Prices!AN9),"",Prices!AN9)</f>
        <v/>
      </c>
      <c r="AO11" s="1" t="str">
        <f>IF(ISBLANK(Prices!AO9),"",Prices!AO9)</f>
        <v/>
      </c>
      <c r="AP11" s="1" t="str">
        <f>IF(ISBLANK(Prices!AP9),"",Prices!AP9)</f>
        <v/>
      </c>
      <c r="AQ11" s="1" t="str">
        <f>IF(ISBLANK(Prices!AQ9),"",Prices!AQ9)</f>
        <v/>
      </c>
      <c r="AR11" s="1" t="str">
        <f>IF(ISBLANK(Prices!AR9),"",Prices!AR9)</f>
        <v/>
      </c>
      <c r="AS11" s="1" t="str">
        <f>IF(ISBLANK(Prices!AS9),"",Prices!AS9)</f>
        <v/>
      </c>
      <c r="AT11" s="1" t="str">
        <f>IF(ISBLANK(Prices!AT9),"",Prices!AT9)</f>
        <v/>
      </c>
      <c r="AU11" s="1" t="str">
        <f>IF(ISBLANK(Prices!AU9),"",Prices!AU9)</f>
        <v/>
      </c>
      <c r="AV11" s="1" t="str">
        <f>IF(ISBLANK(Prices!AV9),"",Prices!AV9)</f>
        <v/>
      </c>
      <c r="AW11" s="1" t="str">
        <f>IF(ISBLANK(Prices!AW9),"",Prices!AW9)</f>
        <v/>
      </c>
      <c r="AX11" s="1" t="str">
        <f>IF(ISBLANK(Prices!AX9),"",Prices!AX9)</f>
        <v/>
      </c>
      <c r="AY11" s="1" t="str">
        <f>IF(ISBLANK(Prices!AY9),"",Prices!AY9)</f>
        <v/>
      </c>
      <c r="AZ11" s="1" t="str">
        <f>IF(ISBLANK(Prices!AZ9),"",Prices!AZ9)</f>
        <v/>
      </c>
      <c r="BA11" s="1" t="str">
        <f>IF(ISBLANK(Prices!BA9),"",Prices!BA9)</f>
        <v/>
      </c>
      <c r="BB11" s="1" t="str">
        <f>IF(ISBLANK(Prices!BB9),"",Prices!BB9)</f>
        <v/>
      </c>
      <c r="BC11" s="1" t="str">
        <f>IF(ISBLANK(Prices!BC9),"",Prices!BC9)</f>
        <v/>
      </c>
      <c r="BD11" s="1" t="str">
        <f>IF(ISBLANK(Prices!BD9),"",Prices!BD9)</f>
        <v/>
      </c>
      <c r="BE11" s="1" t="str">
        <f>IF(ISBLANK(Prices!BE9),"",Prices!BE9)</f>
        <v/>
      </c>
      <c r="BF11" s="1" t="str">
        <f>IF(ISBLANK(Prices!BF9),"",Prices!BF9)</f>
        <v/>
      </c>
      <c r="BG11" s="1" t="str">
        <f>IF(ISBLANK(Prices!BG9),"",Prices!BG9)</f>
        <v/>
      </c>
      <c r="BH11" s="1" t="str">
        <f>IF(ISBLANK(Prices!BH9),"",Prices!BH9)</f>
        <v/>
      </c>
      <c r="BI11" s="1" t="str">
        <f>IF(ISBLANK(Prices!BI9),"",Prices!BI9)</f>
        <v/>
      </c>
      <c r="BJ11" s="1" t="str">
        <f>IF(ISBLANK(Prices!BJ9),"",Prices!BJ9)</f>
        <v/>
      </c>
      <c r="BK11" s="1" t="str">
        <f>IF(ISBLANK(Prices!BK9),"",Prices!BK9)</f>
        <v/>
      </c>
      <c r="BL11" s="1" t="str">
        <f>IF(ISBLANK(Prices!BL9),"",Prices!BL9)</f>
        <v/>
      </c>
      <c r="BM11" s="1" t="str">
        <f>IF(ISBLANK(Prices!BM9),"",Prices!BM9)</f>
        <v/>
      </c>
      <c r="BN11" s="1" t="str">
        <f>IF(ISBLANK(Prices!BN9),"",Prices!BN9)</f>
        <v/>
      </c>
      <c r="BO11" s="1" t="str">
        <f>IF(ISBLANK(Prices!BO9),"",Prices!BO9)</f>
        <v/>
      </c>
      <c r="BP11" s="1" t="str">
        <f>IF(ISBLANK(Prices!BP9),"",Prices!BP9)</f>
        <v/>
      </c>
      <c r="BQ11" s="1" t="str">
        <f>IF(ISBLANK(Prices!BQ9),"",Prices!BQ9)</f>
        <v/>
      </c>
      <c r="BR11" s="1" t="str">
        <f>IF(ISBLANK(Prices!BR9),"",Prices!BR9)</f>
        <v/>
      </c>
      <c r="BS11" s="1" t="str">
        <f>IF(ISBLANK(Prices!BS9),"",Prices!BS9)</f>
        <v/>
      </c>
      <c r="BT11" s="1" t="str">
        <f>IF(ISBLANK(Prices!BT9),"",Prices!BT9)</f>
        <v/>
      </c>
      <c r="BU11" s="1" t="str">
        <f>IF(ISBLANK(Prices!BU9),"",Prices!BU9)</f>
        <v/>
      </c>
      <c r="BV11" s="1" t="str">
        <f>IF(ISBLANK(Prices!BV9),"",Prices!BV9)</f>
        <v/>
      </c>
      <c r="BW11" s="1" t="str">
        <f>IF(ISBLANK(Prices!BW9),"",Prices!BW9)</f>
        <v/>
      </c>
      <c r="BX11" s="1" t="str">
        <f>IF(ISBLANK(Prices!BX9),"",Prices!BX9)</f>
        <v/>
      </c>
      <c r="BY11" s="1" t="str">
        <f>IF(ISBLANK(Prices!BY9),"",Prices!BY9)</f>
        <v/>
      </c>
      <c r="BZ11" s="1" t="str">
        <f>IF(ISBLANK(Prices!BZ9),"",Prices!BZ9)</f>
        <v/>
      </c>
      <c r="CA11" s="1" t="str">
        <f>IF(ISBLANK(Prices!CA9),"",Prices!CA9)</f>
        <v/>
      </c>
      <c r="CB11" s="1" t="str">
        <f>IF(ISBLANK(Prices!CB9),"",Prices!CB9)</f>
        <v/>
      </c>
      <c r="CC11" s="1" t="str">
        <f>IF(ISBLANK(Prices!CC9),"",Prices!CC9)</f>
        <v/>
      </c>
      <c r="CD11" s="1" t="str">
        <f>IF(ISBLANK(Prices!CD9),"",Prices!CD9)</f>
        <v/>
      </c>
      <c r="CE11" s="1" t="str">
        <f>IF(ISBLANK(Prices!CE9),"",Prices!CE9)</f>
        <v/>
      </c>
      <c r="CF11" s="1" t="str">
        <f>IF(ISBLANK(Prices!CF9),"",Prices!CF9)</f>
        <v/>
      </c>
      <c r="CG11" s="1" t="str">
        <f>IF(ISBLANK(Prices!CG9),"",Prices!CG9)</f>
        <v/>
      </c>
      <c r="CH11" s="1" t="str">
        <f>IF(ISBLANK(Prices!CH9),"",Prices!CH9)</f>
        <v/>
      </c>
      <c r="CI11" s="1" t="str">
        <f>IF(ISBLANK(Prices!CI9),"",Prices!CI9)</f>
        <v/>
      </c>
      <c r="CJ11" s="1" t="str">
        <f>IF(ISBLANK(Prices!CJ9),"",Prices!CJ9)</f>
        <v/>
      </c>
      <c r="CK11" s="1" t="str">
        <f>IF(ISBLANK(Prices!CK9),"",Prices!CK9)</f>
        <v/>
      </c>
      <c r="CL11" s="1" t="str">
        <f>IF(ISBLANK(Prices!CL9),"",Prices!CL9)</f>
        <v/>
      </c>
      <c r="CM11" s="1" t="str">
        <f>IF(ISBLANK(Prices!CM9),"",Prices!CM9)</f>
        <v/>
      </c>
      <c r="CN11" s="1" t="str">
        <f>IF(ISBLANK(Prices!CN9),"",Prices!CN9)</f>
        <v/>
      </c>
    </row>
    <row r="12" spans="1:92" x14ac:dyDescent="0.25">
      <c r="B12" s="1" t="str">
        <f>IF(ISBLANK(Prices!A10),"",Prices!A10)</f>
        <v/>
      </c>
      <c r="C12" s="1" t="str">
        <f>IF(ISBLANK(Prices!C10),"",Prices!C10)</f>
        <v/>
      </c>
      <c r="D12" s="1" t="str">
        <f>IF(ISBLANK(Prices!D10),"",Prices!D10)</f>
        <v/>
      </c>
      <c r="E12" s="1" t="str">
        <f>IF(ISBLANK(Prices!E10),"",Prices!E10)</f>
        <v/>
      </c>
      <c r="F12" s="1" t="str">
        <f>IF(ISBLANK(Prices!F10),"",Prices!F10)</f>
        <v/>
      </c>
      <c r="G12" s="1" t="str">
        <f>IF(ISBLANK(Prices!G10),"",Prices!G10)</f>
        <v/>
      </c>
      <c r="H12" s="1" t="str">
        <f>IF(ISBLANK(Prices!H10),"",Prices!H10)</f>
        <v/>
      </c>
      <c r="I12" s="1" t="str">
        <f>IF(ISBLANK(Prices!I10),"",Prices!I10)</f>
        <v/>
      </c>
      <c r="J12" s="1" t="str">
        <f>IF(ISBLANK(Prices!J10),"",Prices!J10)</f>
        <v/>
      </c>
      <c r="K12" s="1" t="str">
        <f>IF(ISBLANK(Prices!K10),"",Prices!K10)</f>
        <v/>
      </c>
      <c r="L12" s="1" t="str">
        <f>IF(ISBLANK(Prices!L10),"",Prices!L10)</f>
        <v/>
      </c>
      <c r="M12" s="1" t="str">
        <f>IF(ISBLANK(Prices!M10),"",Prices!M10)</f>
        <v/>
      </c>
      <c r="N12" s="1" t="str">
        <f>IF(ISBLANK(Prices!N10),"",Prices!N10)</f>
        <v/>
      </c>
      <c r="O12" s="1" t="str">
        <f>IF(ISBLANK(Prices!O10),"",Prices!O10)</f>
        <v/>
      </c>
      <c r="P12" s="1" t="str">
        <f>IF(ISBLANK(Prices!P10),"",Prices!P10)</f>
        <v/>
      </c>
      <c r="Q12" s="1" t="str">
        <f>IF(ISBLANK(Prices!Q10),"",Prices!Q10)</f>
        <v/>
      </c>
      <c r="R12" s="1" t="str">
        <f>IF(ISBLANK(Prices!R10),"",Prices!R10)</f>
        <v/>
      </c>
      <c r="S12" s="1" t="str">
        <f>IF(ISBLANK(Prices!S10),"",Prices!S10)</f>
        <v/>
      </c>
      <c r="T12" s="1" t="str">
        <f>IF(ISBLANK(Prices!T10),"",Prices!T10)</f>
        <v/>
      </c>
      <c r="U12" s="1" t="str">
        <f>IF(ISBLANK(Prices!U10),"",Prices!U10)</f>
        <v/>
      </c>
      <c r="V12" s="1" t="str">
        <f>IF(ISBLANK(Prices!V10),"",Prices!V10)</f>
        <v/>
      </c>
      <c r="W12" s="1" t="str">
        <f>IF(ISBLANK(Prices!W10),"",Prices!W10)</f>
        <v/>
      </c>
      <c r="X12" s="1" t="str">
        <f>IF(ISBLANK(Prices!X10),"",Prices!X10)</f>
        <v/>
      </c>
      <c r="Y12" s="1" t="str">
        <f>IF(ISBLANK(Prices!Y10),"",Prices!Y10)</f>
        <v/>
      </c>
      <c r="Z12" s="1" t="str">
        <f>IF(ISBLANK(Prices!Z10),"",Prices!Z10)</f>
        <v/>
      </c>
      <c r="AA12" s="1" t="str">
        <f>IF(ISBLANK(Prices!AA10),"",Prices!AA10)</f>
        <v/>
      </c>
      <c r="AB12" s="1" t="str">
        <f>IF(ISBLANK(Prices!AB10),"",Prices!AB10)</f>
        <v/>
      </c>
      <c r="AC12" s="1" t="str">
        <f>IF(ISBLANK(Prices!AC10),"",Prices!AC10)</f>
        <v/>
      </c>
      <c r="AD12" s="1" t="str">
        <f>IF(ISBLANK(Prices!AD10),"",Prices!AD10)</f>
        <v/>
      </c>
      <c r="AE12" s="1" t="str">
        <f>IF(ISBLANK(Prices!AE10),"",Prices!AE10)</f>
        <v/>
      </c>
      <c r="AF12" s="1" t="str">
        <f>IF(ISBLANK(Prices!AF10),"",Prices!AF10)</f>
        <v/>
      </c>
      <c r="AG12" s="1" t="str">
        <f>IF(ISBLANK(Prices!AG10),"",Prices!AG10)</f>
        <v/>
      </c>
      <c r="AH12" s="1" t="str">
        <f>IF(ISBLANK(Prices!AH10),"",Prices!AH10)</f>
        <v/>
      </c>
      <c r="AI12" s="1" t="str">
        <f>IF(ISBLANK(Prices!AI10),"",Prices!AI10)</f>
        <v/>
      </c>
      <c r="AJ12" s="1" t="str">
        <f>IF(ISBLANK(Prices!AJ10),"",Prices!AJ10)</f>
        <v/>
      </c>
      <c r="AK12" s="1" t="str">
        <f>IF(ISBLANK(Prices!AK10),"",Prices!AK10)</f>
        <v/>
      </c>
      <c r="AL12" s="1" t="str">
        <f>IF(ISBLANK(Prices!AL10),"",Prices!AL10)</f>
        <v/>
      </c>
      <c r="AM12" s="1" t="str">
        <f>IF(ISBLANK(Prices!AM10),"",Prices!AM10)</f>
        <v/>
      </c>
      <c r="AN12" s="1" t="str">
        <f>IF(ISBLANK(Prices!AN10),"",Prices!AN10)</f>
        <v/>
      </c>
      <c r="AO12" s="1" t="str">
        <f>IF(ISBLANK(Prices!AO10),"",Prices!AO10)</f>
        <v/>
      </c>
      <c r="AP12" s="1" t="str">
        <f>IF(ISBLANK(Prices!AP10),"",Prices!AP10)</f>
        <v/>
      </c>
      <c r="AQ12" s="1" t="str">
        <f>IF(ISBLANK(Prices!AQ10),"",Prices!AQ10)</f>
        <v/>
      </c>
      <c r="AR12" s="1" t="str">
        <f>IF(ISBLANK(Prices!AR10),"",Prices!AR10)</f>
        <v/>
      </c>
      <c r="AS12" s="1" t="str">
        <f>IF(ISBLANK(Prices!AS10),"",Prices!AS10)</f>
        <v/>
      </c>
      <c r="AT12" s="1" t="str">
        <f>IF(ISBLANK(Prices!AT10),"",Prices!AT10)</f>
        <v/>
      </c>
      <c r="AU12" s="1" t="str">
        <f>IF(ISBLANK(Prices!AU10),"",Prices!AU10)</f>
        <v/>
      </c>
      <c r="AV12" s="1" t="str">
        <f>IF(ISBLANK(Prices!AV10),"",Prices!AV10)</f>
        <v/>
      </c>
      <c r="AW12" s="1" t="str">
        <f>IF(ISBLANK(Prices!AW10),"",Prices!AW10)</f>
        <v/>
      </c>
      <c r="AX12" s="1" t="str">
        <f>IF(ISBLANK(Prices!AX10),"",Prices!AX10)</f>
        <v/>
      </c>
      <c r="AY12" s="1" t="str">
        <f>IF(ISBLANK(Prices!AY10),"",Prices!AY10)</f>
        <v/>
      </c>
      <c r="AZ12" s="1" t="str">
        <f>IF(ISBLANK(Prices!AZ10),"",Prices!AZ10)</f>
        <v/>
      </c>
      <c r="BA12" s="1" t="str">
        <f>IF(ISBLANK(Prices!BA10),"",Prices!BA10)</f>
        <v/>
      </c>
      <c r="BB12" s="1" t="str">
        <f>IF(ISBLANK(Prices!BB10),"",Prices!BB10)</f>
        <v/>
      </c>
      <c r="BC12" s="1" t="str">
        <f>IF(ISBLANK(Prices!BC10),"",Prices!BC10)</f>
        <v/>
      </c>
      <c r="BD12" s="1" t="str">
        <f>IF(ISBLANK(Prices!BD10),"",Prices!BD10)</f>
        <v/>
      </c>
      <c r="BE12" s="1" t="str">
        <f>IF(ISBLANK(Prices!BE10),"",Prices!BE10)</f>
        <v/>
      </c>
      <c r="BF12" s="1" t="str">
        <f>IF(ISBLANK(Prices!BF10),"",Prices!BF10)</f>
        <v/>
      </c>
      <c r="BG12" s="1" t="str">
        <f>IF(ISBLANK(Prices!BG10),"",Prices!BG10)</f>
        <v/>
      </c>
      <c r="BH12" s="1" t="str">
        <f>IF(ISBLANK(Prices!BH10),"",Prices!BH10)</f>
        <v/>
      </c>
      <c r="BI12" s="1" t="str">
        <f>IF(ISBLANK(Prices!BI10),"",Prices!BI10)</f>
        <v/>
      </c>
      <c r="BJ12" s="1" t="str">
        <f>IF(ISBLANK(Prices!BJ10),"",Prices!BJ10)</f>
        <v/>
      </c>
      <c r="BK12" s="1" t="str">
        <f>IF(ISBLANK(Prices!BK10),"",Prices!BK10)</f>
        <v/>
      </c>
      <c r="BL12" s="1" t="str">
        <f>IF(ISBLANK(Prices!BL10),"",Prices!BL10)</f>
        <v/>
      </c>
      <c r="BM12" s="1" t="str">
        <f>IF(ISBLANK(Prices!BM10),"",Prices!BM10)</f>
        <v/>
      </c>
      <c r="BN12" s="1" t="str">
        <f>IF(ISBLANK(Prices!BN10),"",Prices!BN10)</f>
        <v/>
      </c>
      <c r="BO12" s="1" t="str">
        <f>IF(ISBLANK(Prices!BO10),"",Prices!BO10)</f>
        <v/>
      </c>
      <c r="BP12" s="1" t="str">
        <f>IF(ISBLANK(Prices!BP10),"",Prices!BP10)</f>
        <v/>
      </c>
      <c r="BQ12" s="1" t="str">
        <f>IF(ISBLANK(Prices!BQ10),"",Prices!BQ10)</f>
        <v/>
      </c>
      <c r="BR12" s="1" t="str">
        <f>IF(ISBLANK(Prices!BR10),"",Prices!BR10)</f>
        <v/>
      </c>
      <c r="BS12" s="1" t="str">
        <f>IF(ISBLANK(Prices!BS10),"",Prices!BS10)</f>
        <v/>
      </c>
      <c r="BT12" s="1" t="str">
        <f>IF(ISBLANK(Prices!BT10),"",Prices!BT10)</f>
        <v/>
      </c>
      <c r="BU12" s="1" t="str">
        <f>IF(ISBLANK(Prices!BU10),"",Prices!BU10)</f>
        <v/>
      </c>
      <c r="BV12" s="1" t="str">
        <f>IF(ISBLANK(Prices!BV10),"",Prices!BV10)</f>
        <v/>
      </c>
      <c r="BW12" s="1" t="str">
        <f>IF(ISBLANK(Prices!BW10),"",Prices!BW10)</f>
        <v/>
      </c>
      <c r="BX12" s="1" t="str">
        <f>IF(ISBLANK(Prices!BX10),"",Prices!BX10)</f>
        <v/>
      </c>
      <c r="BY12" s="1" t="str">
        <f>IF(ISBLANK(Prices!BY10),"",Prices!BY10)</f>
        <v/>
      </c>
      <c r="BZ12" s="1" t="str">
        <f>IF(ISBLANK(Prices!BZ10),"",Prices!BZ10)</f>
        <v/>
      </c>
      <c r="CA12" s="1" t="str">
        <f>IF(ISBLANK(Prices!CA10),"",Prices!CA10)</f>
        <v/>
      </c>
      <c r="CB12" s="1" t="str">
        <f>IF(ISBLANK(Prices!CB10),"",Prices!CB10)</f>
        <v/>
      </c>
      <c r="CC12" s="1" t="str">
        <f>IF(ISBLANK(Prices!CC10),"",Prices!CC10)</f>
        <v/>
      </c>
      <c r="CD12" s="1" t="str">
        <f>IF(ISBLANK(Prices!CD10),"",Prices!CD10)</f>
        <v/>
      </c>
      <c r="CE12" s="1" t="str">
        <f>IF(ISBLANK(Prices!CE10),"",Prices!CE10)</f>
        <v/>
      </c>
      <c r="CF12" s="1" t="str">
        <f>IF(ISBLANK(Prices!CF10),"",Prices!CF10)</f>
        <v/>
      </c>
      <c r="CG12" s="1" t="str">
        <f>IF(ISBLANK(Prices!CG10),"",Prices!CG10)</f>
        <v/>
      </c>
      <c r="CH12" s="1" t="str">
        <f>IF(ISBLANK(Prices!CH10),"",Prices!CH10)</f>
        <v/>
      </c>
      <c r="CI12" s="1" t="str">
        <f>IF(ISBLANK(Prices!CI10),"",Prices!CI10)</f>
        <v/>
      </c>
      <c r="CJ12" s="1" t="str">
        <f>IF(ISBLANK(Prices!CJ10),"",Prices!CJ10)</f>
        <v/>
      </c>
      <c r="CK12" s="1" t="str">
        <f>IF(ISBLANK(Prices!CK10),"",Prices!CK10)</f>
        <v/>
      </c>
      <c r="CL12" s="1" t="str">
        <f>IF(ISBLANK(Prices!CL10),"",Prices!CL10)</f>
        <v/>
      </c>
      <c r="CM12" s="1" t="str">
        <f>IF(ISBLANK(Prices!CM10),"",Prices!CM10)</f>
        <v/>
      </c>
      <c r="CN12" s="1" t="str">
        <f>IF(ISBLANK(Prices!CN10),"",Prices!CN10)</f>
        <v/>
      </c>
    </row>
    <row r="13" spans="1:92" x14ac:dyDescent="0.25">
      <c r="B13" s="1" t="str">
        <f>IF(ISBLANK(Prices!A11),"",Prices!A11)</f>
        <v/>
      </c>
      <c r="C13" s="1" t="str">
        <f>IF(ISBLANK(Prices!C11),"",Prices!C11)</f>
        <v/>
      </c>
      <c r="D13" s="1" t="str">
        <f>IF(ISBLANK(Prices!D11),"",Prices!D11)</f>
        <v/>
      </c>
      <c r="E13" s="1" t="str">
        <f>IF(ISBLANK(Prices!E11),"",Prices!E11)</f>
        <v/>
      </c>
      <c r="F13" s="1" t="str">
        <f>IF(ISBLANK(Prices!F11),"",Prices!F11)</f>
        <v/>
      </c>
      <c r="G13" s="1" t="str">
        <f>IF(ISBLANK(Prices!G11),"",Prices!G11)</f>
        <v/>
      </c>
      <c r="H13" s="1" t="str">
        <f>IF(ISBLANK(Prices!H11),"",Prices!H11)</f>
        <v/>
      </c>
      <c r="I13" s="1" t="str">
        <f>IF(ISBLANK(Prices!I11),"",Prices!I11)</f>
        <v/>
      </c>
      <c r="J13" s="1" t="str">
        <f>IF(ISBLANK(Prices!J11),"",Prices!J11)</f>
        <v/>
      </c>
      <c r="K13" s="1" t="str">
        <f>IF(ISBLANK(Prices!K11),"",Prices!K11)</f>
        <v/>
      </c>
      <c r="L13" s="1" t="str">
        <f>IF(ISBLANK(Prices!L11),"",Prices!L11)</f>
        <v/>
      </c>
      <c r="M13" s="1" t="str">
        <f>IF(ISBLANK(Prices!M11),"",Prices!M11)</f>
        <v/>
      </c>
      <c r="N13" s="1" t="str">
        <f>IF(ISBLANK(Prices!N11),"",Prices!N11)</f>
        <v/>
      </c>
      <c r="O13" s="1" t="str">
        <f>IF(ISBLANK(Prices!O11),"",Prices!O11)</f>
        <v/>
      </c>
      <c r="P13" s="1" t="str">
        <f>IF(ISBLANK(Prices!P11),"",Prices!P11)</f>
        <v/>
      </c>
      <c r="Q13" s="1" t="str">
        <f>IF(ISBLANK(Prices!Q11),"",Prices!Q11)</f>
        <v/>
      </c>
      <c r="R13" s="1" t="str">
        <f>IF(ISBLANK(Prices!R11),"",Prices!R11)</f>
        <v/>
      </c>
      <c r="S13" s="1" t="str">
        <f>IF(ISBLANK(Prices!S11),"",Prices!S11)</f>
        <v/>
      </c>
      <c r="T13" s="1" t="str">
        <f>IF(ISBLANK(Prices!T11),"",Prices!T11)</f>
        <v/>
      </c>
      <c r="U13" s="1" t="str">
        <f>IF(ISBLANK(Prices!U11),"",Prices!U11)</f>
        <v/>
      </c>
      <c r="V13" s="1" t="str">
        <f>IF(ISBLANK(Prices!V11),"",Prices!V11)</f>
        <v/>
      </c>
      <c r="W13" s="1" t="str">
        <f>IF(ISBLANK(Prices!W11),"",Prices!W11)</f>
        <v/>
      </c>
      <c r="X13" s="1" t="str">
        <f>IF(ISBLANK(Prices!X11),"",Prices!X11)</f>
        <v/>
      </c>
      <c r="Y13" s="1" t="str">
        <f>IF(ISBLANK(Prices!Y11),"",Prices!Y11)</f>
        <v/>
      </c>
      <c r="Z13" s="1" t="str">
        <f>IF(ISBLANK(Prices!Z11),"",Prices!Z11)</f>
        <v/>
      </c>
      <c r="AA13" s="1" t="str">
        <f>IF(ISBLANK(Prices!AA11),"",Prices!AA11)</f>
        <v/>
      </c>
      <c r="AB13" s="1" t="str">
        <f>IF(ISBLANK(Prices!AB11),"",Prices!AB11)</f>
        <v/>
      </c>
      <c r="AC13" s="1" t="str">
        <f>IF(ISBLANK(Prices!AC11),"",Prices!AC11)</f>
        <v/>
      </c>
      <c r="AD13" s="1" t="str">
        <f>IF(ISBLANK(Prices!AD11),"",Prices!AD11)</f>
        <v/>
      </c>
      <c r="AE13" s="1" t="str">
        <f>IF(ISBLANK(Prices!AE11),"",Prices!AE11)</f>
        <v/>
      </c>
      <c r="AF13" s="1" t="str">
        <f>IF(ISBLANK(Prices!AF11),"",Prices!AF11)</f>
        <v/>
      </c>
      <c r="AG13" s="1" t="str">
        <f>IF(ISBLANK(Prices!AG11),"",Prices!AG11)</f>
        <v/>
      </c>
      <c r="AH13" s="1" t="str">
        <f>IF(ISBLANK(Prices!AH11),"",Prices!AH11)</f>
        <v/>
      </c>
      <c r="AI13" s="1" t="str">
        <f>IF(ISBLANK(Prices!AI11),"",Prices!AI11)</f>
        <v/>
      </c>
      <c r="AJ13" s="1" t="str">
        <f>IF(ISBLANK(Prices!AJ11),"",Prices!AJ11)</f>
        <v/>
      </c>
      <c r="AK13" s="1" t="str">
        <f>IF(ISBLANK(Prices!AK11),"",Prices!AK11)</f>
        <v/>
      </c>
      <c r="AL13" s="1" t="str">
        <f>IF(ISBLANK(Prices!AL11),"",Prices!AL11)</f>
        <v/>
      </c>
      <c r="AM13" s="1" t="str">
        <f>IF(ISBLANK(Prices!AM11),"",Prices!AM11)</f>
        <v/>
      </c>
      <c r="AN13" s="1" t="str">
        <f>IF(ISBLANK(Prices!AN11),"",Prices!AN11)</f>
        <v/>
      </c>
      <c r="AO13" s="1" t="str">
        <f>IF(ISBLANK(Prices!AO11),"",Prices!AO11)</f>
        <v/>
      </c>
      <c r="AP13" s="1" t="str">
        <f>IF(ISBLANK(Prices!AP11),"",Prices!AP11)</f>
        <v/>
      </c>
      <c r="AQ13" s="1" t="str">
        <f>IF(ISBLANK(Prices!AQ11),"",Prices!AQ11)</f>
        <v/>
      </c>
      <c r="AR13" s="1" t="str">
        <f>IF(ISBLANK(Prices!AR11),"",Prices!AR11)</f>
        <v/>
      </c>
      <c r="AS13" s="1" t="str">
        <f>IF(ISBLANK(Prices!AS11),"",Prices!AS11)</f>
        <v/>
      </c>
      <c r="AT13" s="1" t="str">
        <f>IF(ISBLANK(Prices!AT11),"",Prices!AT11)</f>
        <v/>
      </c>
      <c r="AU13" s="1" t="str">
        <f>IF(ISBLANK(Prices!AU11),"",Prices!AU11)</f>
        <v/>
      </c>
      <c r="AV13" s="1" t="str">
        <f>IF(ISBLANK(Prices!AV11),"",Prices!AV11)</f>
        <v/>
      </c>
      <c r="AW13" s="1" t="str">
        <f>IF(ISBLANK(Prices!AW11),"",Prices!AW11)</f>
        <v/>
      </c>
      <c r="AX13" s="1" t="str">
        <f>IF(ISBLANK(Prices!AX11),"",Prices!AX11)</f>
        <v/>
      </c>
      <c r="AY13" s="1" t="str">
        <f>IF(ISBLANK(Prices!AY11),"",Prices!AY11)</f>
        <v/>
      </c>
      <c r="AZ13" s="1" t="str">
        <f>IF(ISBLANK(Prices!AZ11),"",Prices!AZ11)</f>
        <v/>
      </c>
      <c r="BA13" s="1" t="str">
        <f>IF(ISBLANK(Prices!BA11),"",Prices!BA11)</f>
        <v/>
      </c>
      <c r="BB13" s="1" t="str">
        <f>IF(ISBLANK(Prices!BB11),"",Prices!BB11)</f>
        <v/>
      </c>
      <c r="BC13" s="1" t="str">
        <f>IF(ISBLANK(Prices!BC11),"",Prices!BC11)</f>
        <v/>
      </c>
      <c r="BD13" s="1" t="str">
        <f>IF(ISBLANK(Prices!BD11),"",Prices!BD11)</f>
        <v/>
      </c>
      <c r="BE13" s="1" t="str">
        <f>IF(ISBLANK(Prices!BE11),"",Prices!BE11)</f>
        <v/>
      </c>
      <c r="BF13" s="1" t="str">
        <f>IF(ISBLANK(Prices!BF11),"",Prices!BF11)</f>
        <v/>
      </c>
      <c r="BG13" s="1" t="str">
        <f>IF(ISBLANK(Prices!BG11),"",Prices!BG11)</f>
        <v/>
      </c>
      <c r="BH13" s="1" t="str">
        <f>IF(ISBLANK(Prices!BH11),"",Prices!BH11)</f>
        <v/>
      </c>
      <c r="BI13" s="1" t="str">
        <f>IF(ISBLANK(Prices!BI11),"",Prices!BI11)</f>
        <v/>
      </c>
      <c r="BJ13" s="1" t="str">
        <f>IF(ISBLANK(Prices!BJ11),"",Prices!BJ11)</f>
        <v/>
      </c>
      <c r="BK13" s="1" t="str">
        <f>IF(ISBLANK(Prices!BK11),"",Prices!BK11)</f>
        <v/>
      </c>
      <c r="BL13" s="1" t="str">
        <f>IF(ISBLANK(Prices!BL11),"",Prices!BL11)</f>
        <v/>
      </c>
      <c r="BM13" s="1" t="str">
        <f>IF(ISBLANK(Prices!BM11),"",Prices!BM11)</f>
        <v/>
      </c>
      <c r="BN13" s="1" t="str">
        <f>IF(ISBLANK(Prices!BN11),"",Prices!BN11)</f>
        <v/>
      </c>
      <c r="BO13" s="1" t="str">
        <f>IF(ISBLANK(Prices!BO11),"",Prices!BO11)</f>
        <v/>
      </c>
      <c r="BP13" s="1" t="str">
        <f>IF(ISBLANK(Prices!BP11),"",Prices!BP11)</f>
        <v/>
      </c>
      <c r="BQ13" s="1" t="str">
        <f>IF(ISBLANK(Prices!BQ11),"",Prices!BQ11)</f>
        <v/>
      </c>
      <c r="BR13" s="1" t="str">
        <f>IF(ISBLANK(Prices!BR11),"",Prices!BR11)</f>
        <v/>
      </c>
      <c r="BS13" s="1" t="str">
        <f>IF(ISBLANK(Prices!BS11),"",Prices!BS11)</f>
        <v/>
      </c>
      <c r="BT13" s="1" t="str">
        <f>IF(ISBLANK(Prices!BT11),"",Prices!BT11)</f>
        <v/>
      </c>
      <c r="BU13" s="1" t="str">
        <f>IF(ISBLANK(Prices!BU11),"",Prices!BU11)</f>
        <v/>
      </c>
      <c r="BV13" s="1" t="str">
        <f>IF(ISBLANK(Prices!BV11),"",Prices!BV11)</f>
        <v/>
      </c>
      <c r="BW13" s="1" t="str">
        <f>IF(ISBLANK(Prices!BW11),"",Prices!BW11)</f>
        <v/>
      </c>
      <c r="BX13" s="1" t="str">
        <f>IF(ISBLANK(Prices!BX11),"",Prices!BX11)</f>
        <v/>
      </c>
      <c r="BY13" s="1" t="str">
        <f>IF(ISBLANK(Prices!BY11),"",Prices!BY11)</f>
        <v/>
      </c>
      <c r="BZ13" s="1" t="str">
        <f>IF(ISBLANK(Prices!BZ11),"",Prices!BZ11)</f>
        <v/>
      </c>
      <c r="CA13" s="1" t="str">
        <f>IF(ISBLANK(Prices!CA11),"",Prices!CA11)</f>
        <v/>
      </c>
      <c r="CB13" s="1" t="str">
        <f>IF(ISBLANK(Prices!CB11),"",Prices!CB11)</f>
        <v/>
      </c>
      <c r="CC13" s="1" t="str">
        <f>IF(ISBLANK(Prices!CC11),"",Prices!CC11)</f>
        <v/>
      </c>
      <c r="CD13" s="1" t="str">
        <f>IF(ISBLANK(Prices!CD11),"",Prices!CD11)</f>
        <v/>
      </c>
      <c r="CE13" s="1" t="str">
        <f>IF(ISBLANK(Prices!CE11),"",Prices!CE11)</f>
        <v/>
      </c>
      <c r="CF13" s="1" t="str">
        <f>IF(ISBLANK(Prices!CF11),"",Prices!CF11)</f>
        <v/>
      </c>
      <c r="CG13" s="1" t="str">
        <f>IF(ISBLANK(Prices!CG11),"",Prices!CG11)</f>
        <v/>
      </c>
      <c r="CH13" s="1" t="str">
        <f>IF(ISBLANK(Prices!CH11),"",Prices!CH11)</f>
        <v/>
      </c>
      <c r="CI13" s="1" t="str">
        <f>IF(ISBLANK(Prices!CI11),"",Prices!CI11)</f>
        <v/>
      </c>
      <c r="CJ13" s="1" t="str">
        <f>IF(ISBLANK(Prices!CJ11),"",Prices!CJ11)</f>
        <v/>
      </c>
      <c r="CK13" s="1" t="str">
        <f>IF(ISBLANK(Prices!CK11),"",Prices!CK11)</f>
        <v/>
      </c>
      <c r="CL13" s="1" t="str">
        <f>IF(ISBLANK(Prices!CL11),"",Prices!CL11)</f>
        <v/>
      </c>
      <c r="CM13" s="1" t="str">
        <f>IF(ISBLANK(Prices!CM11),"",Prices!CM11)</f>
        <v/>
      </c>
      <c r="CN13" s="1" t="str">
        <f>IF(ISBLANK(Prices!CN11),"",Prices!CN11)</f>
        <v/>
      </c>
    </row>
    <row r="14" spans="1:92" x14ac:dyDescent="0.25">
      <c r="B14" s="1" t="str">
        <f>IF(ISBLANK(Prices!A12),"",Prices!A12)</f>
        <v/>
      </c>
      <c r="C14" s="1" t="str">
        <f>IF(ISBLANK(Prices!C12),"",Prices!C12)</f>
        <v/>
      </c>
      <c r="D14" s="1" t="str">
        <f>IF(ISBLANK(Prices!D12),"",Prices!D12)</f>
        <v/>
      </c>
      <c r="E14" s="1" t="str">
        <f>IF(ISBLANK(Prices!E12),"",Prices!E12)</f>
        <v/>
      </c>
      <c r="F14" s="1" t="str">
        <f>IF(ISBLANK(Prices!F12),"",Prices!F12)</f>
        <v/>
      </c>
      <c r="G14" s="1" t="str">
        <f>IF(ISBLANK(Prices!G12),"",Prices!G12)</f>
        <v/>
      </c>
      <c r="H14" s="1" t="str">
        <f>IF(ISBLANK(Prices!H12),"",Prices!H12)</f>
        <v/>
      </c>
      <c r="I14" s="1" t="str">
        <f>IF(ISBLANK(Prices!I12),"",Prices!I12)</f>
        <v/>
      </c>
      <c r="J14" s="1" t="str">
        <f>IF(ISBLANK(Prices!J12),"",Prices!J12)</f>
        <v/>
      </c>
      <c r="K14" s="1" t="str">
        <f>IF(ISBLANK(Prices!K12),"",Prices!K12)</f>
        <v/>
      </c>
      <c r="L14" s="1" t="str">
        <f>IF(ISBLANK(Prices!L12),"",Prices!L12)</f>
        <v/>
      </c>
      <c r="M14" s="1" t="str">
        <f>IF(ISBLANK(Prices!M12),"",Prices!M12)</f>
        <v/>
      </c>
      <c r="N14" s="1" t="str">
        <f>IF(ISBLANK(Prices!N12),"",Prices!N12)</f>
        <v/>
      </c>
      <c r="O14" s="1" t="str">
        <f>IF(ISBLANK(Prices!O12),"",Prices!O12)</f>
        <v/>
      </c>
      <c r="P14" s="1" t="str">
        <f>IF(ISBLANK(Prices!P12),"",Prices!P12)</f>
        <v/>
      </c>
      <c r="Q14" s="1" t="str">
        <f>IF(ISBLANK(Prices!Q12),"",Prices!Q12)</f>
        <v/>
      </c>
      <c r="R14" s="1" t="str">
        <f>IF(ISBLANK(Prices!R12),"",Prices!R12)</f>
        <v/>
      </c>
      <c r="S14" s="1" t="str">
        <f>IF(ISBLANK(Prices!S12),"",Prices!S12)</f>
        <v/>
      </c>
      <c r="T14" s="1" t="str">
        <f>IF(ISBLANK(Prices!T12),"",Prices!T12)</f>
        <v/>
      </c>
      <c r="U14" s="1" t="str">
        <f>IF(ISBLANK(Prices!U12),"",Prices!U12)</f>
        <v/>
      </c>
      <c r="V14" s="1" t="str">
        <f>IF(ISBLANK(Prices!V12),"",Prices!V12)</f>
        <v/>
      </c>
      <c r="W14" s="1" t="str">
        <f>IF(ISBLANK(Prices!W12),"",Prices!W12)</f>
        <v/>
      </c>
      <c r="X14" s="1" t="str">
        <f>IF(ISBLANK(Prices!X12),"",Prices!X12)</f>
        <v/>
      </c>
      <c r="Y14" s="1" t="str">
        <f>IF(ISBLANK(Prices!Y12),"",Prices!Y12)</f>
        <v/>
      </c>
      <c r="Z14" s="1" t="str">
        <f>IF(ISBLANK(Prices!Z12),"",Prices!Z12)</f>
        <v/>
      </c>
      <c r="AA14" s="1" t="str">
        <f>IF(ISBLANK(Prices!AA12),"",Prices!AA12)</f>
        <v/>
      </c>
      <c r="AB14" s="1" t="str">
        <f>IF(ISBLANK(Prices!AB12),"",Prices!AB12)</f>
        <v/>
      </c>
      <c r="AC14" s="1" t="str">
        <f>IF(ISBLANK(Prices!AC12),"",Prices!AC12)</f>
        <v/>
      </c>
      <c r="AD14" s="1" t="str">
        <f>IF(ISBLANK(Prices!AD12),"",Prices!AD12)</f>
        <v/>
      </c>
      <c r="AE14" s="1" t="str">
        <f>IF(ISBLANK(Prices!AE12),"",Prices!AE12)</f>
        <v/>
      </c>
      <c r="AF14" s="1" t="str">
        <f>IF(ISBLANK(Prices!AF12),"",Prices!AF12)</f>
        <v/>
      </c>
      <c r="AG14" s="1" t="str">
        <f>IF(ISBLANK(Prices!AG12),"",Prices!AG12)</f>
        <v/>
      </c>
      <c r="AH14" s="1" t="str">
        <f>IF(ISBLANK(Prices!AH12),"",Prices!AH12)</f>
        <v/>
      </c>
      <c r="AI14" s="1" t="str">
        <f>IF(ISBLANK(Prices!AI12),"",Prices!AI12)</f>
        <v/>
      </c>
      <c r="AJ14" s="1" t="str">
        <f>IF(ISBLANK(Prices!AJ12),"",Prices!AJ12)</f>
        <v/>
      </c>
      <c r="AK14" s="1" t="str">
        <f>IF(ISBLANK(Prices!AK12),"",Prices!AK12)</f>
        <v/>
      </c>
      <c r="AL14" s="1" t="str">
        <f>IF(ISBLANK(Prices!AL12),"",Prices!AL12)</f>
        <v/>
      </c>
      <c r="AM14" s="1" t="str">
        <f>IF(ISBLANK(Prices!AM12),"",Prices!AM12)</f>
        <v/>
      </c>
      <c r="AN14" s="1" t="str">
        <f>IF(ISBLANK(Prices!AN12),"",Prices!AN12)</f>
        <v/>
      </c>
      <c r="AO14" s="1" t="str">
        <f>IF(ISBLANK(Prices!AO12),"",Prices!AO12)</f>
        <v/>
      </c>
      <c r="AP14" s="1" t="str">
        <f>IF(ISBLANK(Prices!AP12),"",Prices!AP12)</f>
        <v/>
      </c>
      <c r="AQ14" s="1" t="str">
        <f>IF(ISBLANK(Prices!AQ12),"",Prices!AQ12)</f>
        <v/>
      </c>
      <c r="AR14" s="1" t="str">
        <f>IF(ISBLANK(Prices!AR12),"",Prices!AR12)</f>
        <v/>
      </c>
      <c r="AS14" s="1" t="str">
        <f>IF(ISBLANK(Prices!AS12),"",Prices!AS12)</f>
        <v/>
      </c>
      <c r="AT14" s="1" t="str">
        <f>IF(ISBLANK(Prices!AT12),"",Prices!AT12)</f>
        <v/>
      </c>
      <c r="AU14" s="1" t="str">
        <f>IF(ISBLANK(Prices!AU12),"",Prices!AU12)</f>
        <v/>
      </c>
      <c r="AV14" s="1" t="str">
        <f>IF(ISBLANK(Prices!AV12),"",Prices!AV12)</f>
        <v/>
      </c>
      <c r="AW14" s="1" t="str">
        <f>IF(ISBLANK(Prices!AW12),"",Prices!AW12)</f>
        <v/>
      </c>
      <c r="AX14" s="1" t="str">
        <f>IF(ISBLANK(Prices!AX12),"",Prices!AX12)</f>
        <v/>
      </c>
      <c r="AY14" s="1" t="str">
        <f>IF(ISBLANK(Prices!AY12),"",Prices!AY12)</f>
        <v/>
      </c>
      <c r="AZ14" s="1" t="str">
        <f>IF(ISBLANK(Prices!AZ12),"",Prices!AZ12)</f>
        <v/>
      </c>
      <c r="BA14" s="1" t="str">
        <f>IF(ISBLANK(Prices!BA12),"",Prices!BA12)</f>
        <v/>
      </c>
      <c r="BB14" s="1" t="str">
        <f>IF(ISBLANK(Prices!BB12),"",Prices!BB12)</f>
        <v/>
      </c>
      <c r="BC14" s="1" t="str">
        <f>IF(ISBLANK(Prices!BC12),"",Prices!BC12)</f>
        <v/>
      </c>
      <c r="BD14" s="1" t="str">
        <f>IF(ISBLANK(Prices!BD12),"",Prices!BD12)</f>
        <v/>
      </c>
      <c r="BE14" s="1" t="str">
        <f>IF(ISBLANK(Prices!BE12),"",Prices!BE12)</f>
        <v/>
      </c>
      <c r="BF14" s="1" t="str">
        <f>IF(ISBLANK(Prices!BF12),"",Prices!BF12)</f>
        <v/>
      </c>
      <c r="BG14" s="1" t="str">
        <f>IF(ISBLANK(Prices!BG12),"",Prices!BG12)</f>
        <v/>
      </c>
      <c r="BH14" s="1" t="str">
        <f>IF(ISBLANK(Prices!BH12),"",Prices!BH12)</f>
        <v/>
      </c>
      <c r="BI14" s="1" t="str">
        <f>IF(ISBLANK(Prices!BI12),"",Prices!BI12)</f>
        <v/>
      </c>
      <c r="BJ14" s="1" t="str">
        <f>IF(ISBLANK(Prices!BJ12),"",Prices!BJ12)</f>
        <v/>
      </c>
      <c r="BK14" s="1" t="str">
        <f>IF(ISBLANK(Prices!BK12),"",Prices!BK12)</f>
        <v/>
      </c>
      <c r="BL14" s="1" t="str">
        <f>IF(ISBLANK(Prices!BL12),"",Prices!BL12)</f>
        <v/>
      </c>
      <c r="BM14" s="1" t="str">
        <f>IF(ISBLANK(Prices!BM12),"",Prices!BM12)</f>
        <v/>
      </c>
      <c r="BN14" s="1" t="str">
        <f>IF(ISBLANK(Prices!BN12),"",Prices!BN12)</f>
        <v/>
      </c>
      <c r="BO14" s="1" t="str">
        <f>IF(ISBLANK(Prices!BO12),"",Prices!BO12)</f>
        <v/>
      </c>
      <c r="BP14" s="1" t="str">
        <f>IF(ISBLANK(Prices!BP12),"",Prices!BP12)</f>
        <v/>
      </c>
      <c r="BQ14" s="1" t="str">
        <f>IF(ISBLANK(Prices!BQ12),"",Prices!BQ12)</f>
        <v/>
      </c>
      <c r="BR14" s="1" t="str">
        <f>IF(ISBLANK(Prices!BR12),"",Prices!BR12)</f>
        <v/>
      </c>
      <c r="BS14" s="1" t="str">
        <f>IF(ISBLANK(Prices!BS12),"",Prices!BS12)</f>
        <v/>
      </c>
      <c r="BT14" s="1" t="str">
        <f>IF(ISBLANK(Prices!BT12),"",Prices!BT12)</f>
        <v/>
      </c>
      <c r="BU14" s="1" t="str">
        <f>IF(ISBLANK(Prices!BU12),"",Prices!BU12)</f>
        <v/>
      </c>
      <c r="BV14" s="1" t="str">
        <f>IF(ISBLANK(Prices!BV12),"",Prices!BV12)</f>
        <v/>
      </c>
      <c r="BW14" s="1" t="str">
        <f>IF(ISBLANK(Prices!BW12),"",Prices!BW12)</f>
        <v/>
      </c>
      <c r="BX14" s="1" t="str">
        <f>IF(ISBLANK(Prices!BX12),"",Prices!BX12)</f>
        <v/>
      </c>
      <c r="BY14" s="1" t="str">
        <f>IF(ISBLANK(Prices!BY12),"",Prices!BY12)</f>
        <v/>
      </c>
      <c r="BZ14" s="1" t="str">
        <f>IF(ISBLANK(Prices!BZ12),"",Prices!BZ12)</f>
        <v/>
      </c>
      <c r="CA14" s="1" t="str">
        <f>IF(ISBLANK(Prices!CA12),"",Prices!CA12)</f>
        <v/>
      </c>
      <c r="CB14" s="1" t="str">
        <f>IF(ISBLANK(Prices!CB12),"",Prices!CB12)</f>
        <v/>
      </c>
      <c r="CC14" s="1" t="str">
        <f>IF(ISBLANK(Prices!CC12),"",Prices!CC12)</f>
        <v/>
      </c>
      <c r="CD14" s="1" t="str">
        <f>IF(ISBLANK(Prices!CD12),"",Prices!CD12)</f>
        <v/>
      </c>
      <c r="CE14" s="1" t="str">
        <f>IF(ISBLANK(Prices!CE12),"",Prices!CE12)</f>
        <v/>
      </c>
      <c r="CF14" s="1" t="str">
        <f>IF(ISBLANK(Prices!CF12),"",Prices!CF12)</f>
        <v/>
      </c>
      <c r="CG14" s="1" t="str">
        <f>IF(ISBLANK(Prices!CG12),"",Prices!CG12)</f>
        <v/>
      </c>
      <c r="CH14" s="1" t="str">
        <f>IF(ISBLANK(Prices!CH12),"",Prices!CH12)</f>
        <v/>
      </c>
      <c r="CI14" s="1" t="str">
        <f>IF(ISBLANK(Prices!CI12),"",Prices!CI12)</f>
        <v/>
      </c>
      <c r="CJ14" s="1" t="str">
        <f>IF(ISBLANK(Prices!CJ12),"",Prices!CJ12)</f>
        <v/>
      </c>
      <c r="CK14" s="1" t="str">
        <f>IF(ISBLANK(Prices!CK12),"",Prices!CK12)</f>
        <v/>
      </c>
      <c r="CL14" s="1" t="str">
        <f>IF(ISBLANK(Prices!CL12),"",Prices!CL12)</f>
        <v/>
      </c>
      <c r="CM14" s="1" t="str">
        <f>IF(ISBLANK(Prices!CM12),"",Prices!CM12)</f>
        <v/>
      </c>
      <c r="CN14" s="1" t="str">
        <f>IF(ISBLANK(Prices!CN12),"",Prices!CN12)</f>
        <v/>
      </c>
    </row>
    <row r="15" spans="1:92" x14ac:dyDescent="0.25">
      <c r="B15" s="1" t="str">
        <f>IF(ISBLANK(Prices!A13),"",Prices!A13)</f>
        <v/>
      </c>
      <c r="C15" s="1" t="str">
        <f>IF(ISBLANK(Prices!C13),"",Prices!C13)</f>
        <v/>
      </c>
      <c r="D15" s="1" t="str">
        <f>IF(ISBLANK(Prices!D13),"",Prices!D13)</f>
        <v/>
      </c>
      <c r="E15" s="1" t="str">
        <f>IF(ISBLANK(Prices!E13),"",Prices!E13)</f>
        <v/>
      </c>
      <c r="F15" s="1" t="str">
        <f>IF(ISBLANK(Prices!F13),"",Prices!F13)</f>
        <v/>
      </c>
      <c r="G15" s="1" t="str">
        <f>IF(ISBLANK(Prices!G13),"",Prices!G13)</f>
        <v/>
      </c>
      <c r="H15" s="1" t="str">
        <f>IF(ISBLANK(Prices!H13),"",Prices!H13)</f>
        <v/>
      </c>
      <c r="I15" s="1" t="str">
        <f>IF(ISBLANK(Prices!I13),"",Prices!I13)</f>
        <v/>
      </c>
      <c r="J15" s="1" t="str">
        <f>IF(ISBLANK(Prices!J13),"",Prices!J13)</f>
        <v/>
      </c>
      <c r="K15" s="1" t="str">
        <f>IF(ISBLANK(Prices!K13),"",Prices!K13)</f>
        <v/>
      </c>
      <c r="L15" s="1" t="str">
        <f>IF(ISBLANK(Prices!L13),"",Prices!L13)</f>
        <v/>
      </c>
      <c r="M15" s="1" t="str">
        <f>IF(ISBLANK(Prices!M13),"",Prices!M13)</f>
        <v/>
      </c>
      <c r="N15" s="1" t="str">
        <f>IF(ISBLANK(Prices!N13),"",Prices!N13)</f>
        <v/>
      </c>
      <c r="O15" s="1" t="str">
        <f>IF(ISBLANK(Prices!O13),"",Prices!O13)</f>
        <v/>
      </c>
      <c r="P15" s="1" t="str">
        <f>IF(ISBLANK(Prices!P13),"",Prices!P13)</f>
        <v/>
      </c>
      <c r="Q15" s="1" t="str">
        <f>IF(ISBLANK(Prices!Q13),"",Prices!Q13)</f>
        <v/>
      </c>
      <c r="R15" s="1" t="str">
        <f>IF(ISBLANK(Prices!R13),"",Prices!R13)</f>
        <v/>
      </c>
      <c r="S15" s="1" t="str">
        <f>IF(ISBLANK(Prices!S13),"",Prices!S13)</f>
        <v/>
      </c>
      <c r="T15" s="1" t="str">
        <f>IF(ISBLANK(Prices!T13),"",Prices!T13)</f>
        <v/>
      </c>
      <c r="U15" s="1" t="str">
        <f>IF(ISBLANK(Prices!U13),"",Prices!U13)</f>
        <v/>
      </c>
      <c r="V15" s="1" t="str">
        <f>IF(ISBLANK(Prices!V13),"",Prices!V13)</f>
        <v/>
      </c>
      <c r="W15" s="1" t="str">
        <f>IF(ISBLANK(Prices!W13),"",Prices!W13)</f>
        <v/>
      </c>
      <c r="X15" s="1" t="str">
        <f>IF(ISBLANK(Prices!X13),"",Prices!X13)</f>
        <v/>
      </c>
      <c r="Y15" s="1" t="str">
        <f>IF(ISBLANK(Prices!Y13),"",Prices!Y13)</f>
        <v/>
      </c>
      <c r="Z15" s="1" t="str">
        <f>IF(ISBLANK(Prices!Z13),"",Prices!Z13)</f>
        <v/>
      </c>
      <c r="AA15" s="1" t="str">
        <f>IF(ISBLANK(Prices!AA13),"",Prices!AA13)</f>
        <v/>
      </c>
      <c r="AB15" s="1" t="str">
        <f>IF(ISBLANK(Prices!AB13),"",Prices!AB13)</f>
        <v/>
      </c>
      <c r="AC15" s="1" t="str">
        <f>IF(ISBLANK(Prices!AC13),"",Prices!AC13)</f>
        <v/>
      </c>
      <c r="AD15" s="1" t="str">
        <f>IF(ISBLANK(Prices!AD13),"",Prices!AD13)</f>
        <v/>
      </c>
      <c r="AE15" s="1" t="str">
        <f>IF(ISBLANK(Prices!AE13),"",Prices!AE13)</f>
        <v/>
      </c>
      <c r="AF15" s="1" t="str">
        <f>IF(ISBLANK(Prices!AF13),"",Prices!AF13)</f>
        <v/>
      </c>
      <c r="AG15" s="1" t="str">
        <f>IF(ISBLANK(Prices!AG13),"",Prices!AG13)</f>
        <v/>
      </c>
      <c r="AH15" s="1" t="str">
        <f>IF(ISBLANK(Prices!AH13),"",Prices!AH13)</f>
        <v/>
      </c>
      <c r="AI15" s="1" t="str">
        <f>IF(ISBLANK(Prices!AI13),"",Prices!AI13)</f>
        <v/>
      </c>
      <c r="AJ15" s="1" t="str">
        <f>IF(ISBLANK(Prices!AJ13),"",Prices!AJ13)</f>
        <v/>
      </c>
      <c r="AK15" s="1" t="str">
        <f>IF(ISBLANK(Prices!AK13),"",Prices!AK13)</f>
        <v/>
      </c>
      <c r="AL15" s="1" t="str">
        <f>IF(ISBLANK(Prices!AL13),"",Prices!AL13)</f>
        <v/>
      </c>
      <c r="AM15" s="1" t="str">
        <f>IF(ISBLANK(Prices!AM13),"",Prices!AM13)</f>
        <v/>
      </c>
      <c r="AN15" s="1" t="str">
        <f>IF(ISBLANK(Prices!AN13),"",Prices!AN13)</f>
        <v/>
      </c>
      <c r="AO15" s="1" t="str">
        <f>IF(ISBLANK(Prices!AO13),"",Prices!AO13)</f>
        <v/>
      </c>
      <c r="AP15" s="1" t="str">
        <f>IF(ISBLANK(Prices!AP13),"",Prices!AP13)</f>
        <v/>
      </c>
      <c r="AQ15" s="1" t="str">
        <f>IF(ISBLANK(Prices!AQ13),"",Prices!AQ13)</f>
        <v/>
      </c>
      <c r="AR15" s="1" t="str">
        <f>IF(ISBLANK(Prices!AR13),"",Prices!AR13)</f>
        <v/>
      </c>
      <c r="AS15" s="1" t="str">
        <f>IF(ISBLANK(Prices!AS13),"",Prices!AS13)</f>
        <v/>
      </c>
      <c r="AT15" s="1" t="str">
        <f>IF(ISBLANK(Prices!AT13),"",Prices!AT13)</f>
        <v/>
      </c>
      <c r="AU15" s="1" t="str">
        <f>IF(ISBLANK(Prices!AU13),"",Prices!AU13)</f>
        <v/>
      </c>
      <c r="AV15" s="1" t="str">
        <f>IF(ISBLANK(Prices!AV13),"",Prices!AV13)</f>
        <v/>
      </c>
      <c r="AW15" s="1" t="str">
        <f>IF(ISBLANK(Prices!AW13),"",Prices!AW13)</f>
        <v/>
      </c>
      <c r="AX15" s="1" t="str">
        <f>IF(ISBLANK(Prices!AX13),"",Prices!AX13)</f>
        <v/>
      </c>
      <c r="AY15" s="1" t="str">
        <f>IF(ISBLANK(Prices!AY13),"",Prices!AY13)</f>
        <v/>
      </c>
      <c r="AZ15" s="1" t="str">
        <f>IF(ISBLANK(Prices!AZ13),"",Prices!AZ13)</f>
        <v/>
      </c>
      <c r="BA15" s="1" t="str">
        <f>IF(ISBLANK(Prices!BA13),"",Prices!BA13)</f>
        <v/>
      </c>
      <c r="BB15" s="1" t="str">
        <f>IF(ISBLANK(Prices!BB13),"",Prices!BB13)</f>
        <v/>
      </c>
      <c r="BC15" s="1" t="str">
        <f>IF(ISBLANK(Prices!BC13),"",Prices!BC13)</f>
        <v/>
      </c>
      <c r="BD15" s="1" t="str">
        <f>IF(ISBLANK(Prices!BD13),"",Prices!BD13)</f>
        <v/>
      </c>
      <c r="BE15" s="1" t="str">
        <f>IF(ISBLANK(Prices!BE13),"",Prices!BE13)</f>
        <v/>
      </c>
      <c r="BF15" s="1" t="str">
        <f>IF(ISBLANK(Prices!BF13),"",Prices!BF13)</f>
        <v/>
      </c>
      <c r="BG15" s="1" t="str">
        <f>IF(ISBLANK(Prices!BG13),"",Prices!BG13)</f>
        <v/>
      </c>
      <c r="BH15" s="1" t="str">
        <f>IF(ISBLANK(Prices!BH13),"",Prices!BH13)</f>
        <v/>
      </c>
      <c r="BI15" s="1" t="str">
        <f>IF(ISBLANK(Prices!BI13),"",Prices!BI13)</f>
        <v/>
      </c>
      <c r="BJ15" s="1" t="str">
        <f>IF(ISBLANK(Prices!BJ13),"",Prices!BJ13)</f>
        <v/>
      </c>
      <c r="BK15" s="1" t="str">
        <f>IF(ISBLANK(Prices!BK13),"",Prices!BK13)</f>
        <v/>
      </c>
      <c r="BL15" s="1" t="str">
        <f>IF(ISBLANK(Prices!BL13),"",Prices!BL13)</f>
        <v/>
      </c>
      <c r="BM15" s="1" t="str">
        <f>IF(ISBLANK(Prices!BM13),"",Prices!BM13)</f>
        <v/>
      </c>
      <c r="BN15" s="1" t="str">
        <f>IF(ISBLANK(Prices!BN13),"",Prices!BN13)</f>
        <v/>
      </c>
      <c r="BO15" s="1" t="str">
        <f>IF(ISBLANK(Prices!BO13),"",Prices!BO13)</f>
        <v/>
      </c>
      <c r="BP15" s="1" t="str">
        <f>IF(ISBLANK(Prices!BP13),"",Prices!BP13)</f>
        <v/>
      </c>
      <c r="BQ15" s="1" t="str">
        <f>IF(ISBLANK(Prices!BQ13),"",Prices!BQ13)</f>
        <v/>
      </c>
      <c r="BR15" s="1" t="str">
        <f>IF(ISBLANK(Prices!BR13),"",Prices!BR13)</f>
        <v/>
      </c>
      <c r="BS15" s="1" t="str">
        <f>IF(ISBLANK(Prices!BS13),"",Prices!BS13)</f>
        <v/>
      </c>
      <c r="BT15" s="1" t="str">
        <f>IF(ISBLANK(Prices!BT13),"",Prices!BT13)</f>
        <v/>
      </c>
      <c r="BU15" s="1" t="str">
        <f>IF(ISBLANK(Prices!BU13),"",Prices!BU13)</f>
        <v/>
      </c>
      <c r="BV15" s="1" t="str">
        <f>IF(ISBLANK(Prices!BV13),"",Prices!BV13)</f>
        <v/>
      </c>
      <c r="BW15" s="1" t="str">
        <f>IF(ISBLANK(Prices!BW13),"",Prices!BW13)</f>
        <v/>
      </c>
      <c r="BX15" s="1" t="str">
        <f>IF(ISBLANK(Prices!BX13),"",Prices!BX13)</f>
        <v/>
      </c>
      <c r="BY15" s="1" t="str">
        <f>IF(ISBLANK(Prices!BY13),"",Prices!BY13)</f>
        <v/>
      </c>
      <c r="BZ15" s="1" t="str">
        <f>IF(ISBLANK(Prices!BZ13),"",Prices!BZ13)</f>
        <v/>
      </c>
      <c r="CA15" s="1" t="str">
        <f>IF(ISBLANK(Prices!CA13),"",Prices!CA13)</f>
        <v/>
      </c>
      <c r="CB15" s="1" t="str">
        <f>IF(ISBLANK(Prices!CB13),"",Prices!CB13)</f>
        <v/>
      </c>
      <c r="CC15" s="1" t="str">
        <f>IF(ISBLANK(Prices!CC13),"",Prices!CC13)</f>
        <v/>
      </c>
      <c r="CD15" s="1" t="str">
        <f>IF(ISBLANK(Prices!CD13),"",Prices!CD13)</f>
        <v/>
      </c>
      <c r="CE15" s="1" t="str">
        <f>IF(ISBLANK(Prices!CE13),"",Prices!CE13)</f>
        <v/>
      </c>
      <c r="CF15" s="1" t="str">
        <f>IF(ISBLANK(Prices!CF13),"",Prices!CF13)</f>
        <v/>
      </c>
      <c r="CG15" s="1" t="str">
        <f>IF(ISBLANK(Prices!CG13),"",Prices!CG13)</f>
        <v/>
      </c>
      <c r="CH15" s="1" t="str">
        <f>IF(ISBLANK(Prices!CH13),"",Prices!CH13)</f>
        <v/>
      </c>
      <c r="CI15" s="1" t="str">
        <f>IF(ISBLANK(Prices!CI13),"",Prices!CI13)</f>
        <v/>
      </c>
      <c r="CJ15" s="1" t="str">
        <f>IF(ISBLANK(Prices!CJ13),"",Prices!CJ13)</f>
        <v/>
      </c>
      <c r="CK15" s="1" t="str">
        <f>IF(ISBLANK(Prices!CK13),"",Prices!CK13)</f>
        <v/>
      </c>
      <c r="CL15" s="1" t="str">
        <f>IF(ISBLANK(Prices!CL13),"",Prices!CL13)</f>
        <v/>
      </c>
      <c r="CM15" s="1" t="str">
        <f>IF(ISBLANK(Prices!CM13),"",Prices!CM13)</f>
        <v/>
      </c>
      <c r="CN15" s="1" t="str">
        <f>IF(ISBLANK(Prices!CN13),"",Prices!CN13)</f>
        <v/>
      </c>
    </row>
    <row r="16" spans="1:92" x14ac:dyDescent="0.25">
      <c r="B16" s="1" t="str">
        <f>IF(ISBLANK(Prices!A14),"",Prices!A14)</f>
        <v/>
      </c>
      <c r="C16" s="1" t="str">
        <f>IF(ISBLANK(Prices!C14),"",Prices!C14)</f>
        <v/>
      </c>
      <c r="D16" s="1" t="str">
        <f>IF(ISBLANK(Prices!D14),"",Prices!D14)</f>
        <v/>
      </c>
      <c r="E16" s="1" t="str">
        <f>IF(ISBLANK(Prices!E14),"",Prices!E14)</f>
        <v/>
      </c>
      <c r="F16" s="1" t="str">
        <f>IF(ISBLANK(Prices!F14),"",Prices!F14)</f>
        <v/>
      </c>
      <c r="G16" s="1" t="str">
        <f>IF(ISBLANK(Prices!G14),"",Prices!G14)</f>
        <v/>
      </c>
      <c r="H16" s="1" t="str">
        <f>IF(ISBLANK(Prices!H14),"",Prices!H14)</f>
        <v/>
      </c>
      <c r="I16" s="1" t="str">
        <f>IF(ISBLANK(Prices!I14),"",Prices!I14)</f>
        <v/>
      </c>
      <c r="J16" s="1" t="str">
        <f>IF(ISBLANK(Prices!J14),"",Prices!J14)</f>
        <v/>
      </c>
      <c r="K16" s="1" t="str">
        <f>IF(ISBLANK(Prices!K14),"",Prices!K14)</f>
        <v/>
      </c>
      <c r="L16" s="1" t="str">
        <f>IF(ISBLANK(Prices!L14),"",Prices!L14)</f>
        <v/>
      </c>
      <c r="M16" s="1" t="str">
        <f>IF(ISBLANK(Prices!M14),"",Prices!M14)</f>
        <v/>
      </c>
      <c r="N16" s="1" t="str">
        <f>IF(ISBLANK(Prices!N14),"",Prices!N14)</f>
        <v/>
      </c>
      <c r="O16" s="1" t="str">
        <f>IF(ISBLANK(Prices!O14),"",Prices!O14)</f>
        <v/>
      </c>
      <c r="P16" s="1" t="str">
        <f>IF(ISBLANK(Prices!P14),"",Prices!P14)</f>
        <v/>
      </c>
      <c r="Q16" s="1" t="str">
        <f>IF(ISBLANK(Prices!Q14),"",Prices!Q14)</f>
        <v/>
      </c>
      <c r="R16" s="1" t="str">
        <f>IF(ISBLANK(Prices!R14),"",Prices!R14)</f>
        <v/>
      </c>
      <c r="S16" s="1" t="str">
        <f>IF(ISBLANK(Prices!S14),"",Prices!S14)</f>
        <v/>
      </c>
      <c r="T16" s="1" t="str">
        <f>IF(ISBLANK(Prices!T14),"",Prices!T14)</f>
        <v/>
      </c>
      <c r="U16" s="1" t="str">
        <f>IF(ISBLANK(Prices!U14),"",Prices!U14)</f>
        <v/>
      </c>
      <c r="V16" s="1" t="str">
        <f>IF(ISBLANK(Prices!V14),"",Prices!V14)</f>
        <v/>
      </c>
      <c r="W16" s="1" t="str">
        <f>IF(ISBLANK(Prices!W14),"",Prices!W14)</f>
        <v/>
      </c>
      <c r="X16" s="1" t="str">
        <f>IF(ISBLANK(Prices!X14),"",Prices!X14)</f>
        <v/>
      </c>
      <c r="Y16" s="1" t="str">
        <f>IF(ISBLANK(Prices!Y14),"",Prices!Y14)</f>
        <v/>
      </c>
      <c r="Z16" s="1" t="str">
        <f>IF(ISBLANK(Prices!Z14),"",Prices!Z14)</f>
        <v/>
      </c>
      <c r="AA16" s="1" t="str">
        <f>IF(ISBLANK(Prices!AA14),"",Prices!AA14)</f>
        <v/>
      </c>
      <c r="AB16" s="1" t="str">
        <f>IF(ISBLANK(Prices!AB14),"",Prices!AB14)</f>
        <v/>
      </c>
      <c r="AC16" s="1" t="str">
        <f>IF(ISBLANK(Prices!AC14),"",Prices!AC14)</f>
        <v/>
      </c>
      <c r="AD16" s="1" t="str">
        <f>IF(ISBLANK(Prices!AD14),"",Prices!AD14)</f>
        <v/>
      </c>
      <c r="AE16" s="1" t="str">
        <f>IF(ISBLANK(Prices!AE14),"",Prices!AE14)</f>
        <v/>
      </c>
      <c r="AF16" s="1" t="str">
        <f>IF(ISBLANK(Prices!AF14),"",Prices!AF14)</f>
        <v/>
      </c>
      <c r="AG16" s="1" t="str">
        <f>IF(ISBLANK(Prices!AG14),"",Prices!AG14)</f>
        <v/>
      </c>
      <c r="AH16" s="1" t="str">
        <f>IF(ISBLANK(Prices!AH14),"",Prices!AH14)</f>
        <v/>
      </c>
      <c r="AI16" s="1" t="str">
        <f>IF(ISBLANK(Prices!AI14),"",Prices!AI14)</f>
        <v/>
      </c>
      <c r="AJ16" s="1" t="str">
        <f>IF(ISBLANK(Prices!AJ14),"",Prices!AJ14)</f>
        <v/>
      </c>
      <c r="AK16" s="1" t="str">
        <f>IF(ISBLANK(Prices!AK14),"",Prices!AK14)</f>
        <v/>
      </c>
      <c r="AL16" s="1" t="str">
        <f>IF(ISBLANK(Prices!AL14),"",Prices!AL14)</f>
        <v/>
      </c>
      <c r="AM16" s="1" t="str">
        <f>IF(ISBLANK(Prices!AM14),"",Prices!AM14)</f>
        <v/>
      </c>
      <c r="AN16" s="1" t="str">
        <f>IF(ISBLANK(Prices!AN14),"",Prices!AN14)</f>
        <v/>
      </c>
      <c r="AO16" s="1" t="str">
        <f>IF(ISBLANK(Prices!AO14),"",Prices!AO14)</f>
        <v/>
      </c>
      <c r="AP16" s="1" t="str">
        <f>IF(ISBLANK(Prices!AP14),"",Prices!AP14)</f>
        <v/>
      </c>
      <c r="AQ16" s="1" t="str">
        <f>IF(ISBLANK(Prices!AQ14),"",Prices!AQ14)</f>
        <v/>
      </c>
      <c r="AR16" s="1" t="str">
        <f>IF(ISBLANK(Prices!AR14),"",Prices!AR14)</f>
        <v/>
      </c>
      <c r="AS16" s="1" t="str">
        <f>IF(ISBLANK(Prices!AS14),"",Prices!AS14)</f>
        <v/>
      </c>
      <c r="AT16" s="1" t="str">
        <f>IF(ISBLANK(Prices!AT14),"",Prices!AT14)</f>
        <v/>
      </c>
      <c r="AU16" s="1" t="str">
        <f>IF(ISBLANK(Prices!AU14),"",Prices!AU14)</f>
        <v/>
      </c>
      <c r="AV16" s="1" t="str">
        <f>IF(ISBLANK(Prices!AV14),"",Prices!AV14)</f>
        <v/>
      </c>
      <c r="AW16" s="1" t="str">
        <f>IF(ISBLANK(Prices!AW14),"",Prices!AW14)</f>
        <v/>
      </c>
      <c r="AX16" s="1" t="str">
        <f>IF(ISBLANK(Prices!AX14),"",Prices!AX14)</f>
        <v/>
      </c>
      <c r="AY16" s="1" t="str">
        <f>IF(ISBLANK(Prices!AY14),"",Prices!AY14)</f>
        <v/>
      </c>
      <c r="AZ16" s="1" t="str">
        <f>IF(ISBLANK(Prices!AZ14),"",Prices!AZ14)</f>
        <v/>
      </c>
      <c r="BA16" s="1" t="str">
        <f>IF(ISBLANK(Prices!BA14),"",Prices!BA14)</f>
        <v/>
      </c>
      <c r="BB16" s="1" t="str">
        <f>IF(ISBLANK(Prices!BB14),"",Prices!BB14)</f>
        <v/>
      </c>
      <c r="BC16" s="1" t="str">
        <f>IF(ISBLANK(Prices!BC14),"",Prices!BC14)</f>
        <v/>
      </c>
      <c r="BD16" s="1" t="str">
        <f>IF(ISBLANK(Prices!BD14),"",Prices!BD14)</f>
        <v/>
      </c>
      <c r="BE16" s="1" t="str">
        <f>IF(ISBLANK(Prices!BE14),"",Prices!BE14)</f>
        <v/>
      </c>
      <c r="BF16" s="1" t="str">
        <f>IF(ISBLANK(Prices!BF14),"",Prices!BF14)</f>
        <v/>
      </c>
      <c r="BG16" s="1" t="str">
        <f>IF(ISBLANK(Prices!BG14),"",Prices!BG14)</f>
        <v/>
      </c>
      <c r="BH16" s="1" t="str">
        <f>IF(ISBLANK(Prices!BH14),"",Prices!BH14)</f>
        <v/>
      </c>
      <c r="BI16" s="1" t="str">
        <f>IF(ISBLANK(Prices!BI14),"",Prices!BI14)</f>
        <v/>
      </c>
      <c r="BJ16" s="1" t="str">
        <f>IF(ISBLANK(Prices!BJ14),"",Prices!BJ14)</f>
        <v/>
      </c>
      <c r="BK16" s="1" t="str">
        <f>IF(ISBLANK(Prices!BK14),"",Prices!BK14)</f>
        <v/>
      </c>
      <c r="BL16" s="1" t="str">
        <f>IF(ISBLANK(Prices!BL14),"",Prices!BL14)</f>
        <v/>
      </c>
      <c r="BM16" s="1" t="str">
        <f>IF(ISBLANK(Prices!BM14),"",Prices!BM14)</f>
        <v/>
      </c>
      <c r="BN16" s="1" t="str">
        <f>IF(ISBLANK(Prices!BN14),"",Prices!BN14)</f>
        <v/>
      </c>
      <c r="BO16" s="1" t="str">
        <f>IF(ISBLANK(Prices!BO14),"",Prices!BO14)</f>
        <v/>
      </c>
      <c r="BP16" s="1" t="str">
        <f>IF(ISBLANK(Prices!BP14),"",Prices!BP14)</f>
        <v/>
      </c>
      <c r="BQ16" s="1" t="str">
        <f>IF(ISBLANK(Prices!BQ14),"",Prices!BQ14)</f>
        <v/>
      </c>
      <c r="BR16" s="1" t="str">
        <f>IF(ISBLANK(Prices!BR14),"",Prices!BR14)</f>
        <v/>
      </c>
      <c r="BS16" s="1" t="str">
        <f>IF(ISBLANK(Prices!BS14),"",Prices!BS14)</f>
        <v/>
      </c>
      <c r="BT16" s="1" t="str">
        <f>IF(ISBLANK(Prices!BT14),"",Prices!BT14)</f>
        <v/>
      </c>
      <c r="BU16" s="1" t="str">
        <f>IF(ISBLANK(Prices!BU14),"",Prices!BU14)</f>
        <v/>
      </c>
      <c r="BV16" s="1" t="str">
        <f>IF(ISBLANK(Prices!BV14),"",Prices!BV14)</f>
        <v/>
      </c>
      <c r="BW16" s="1" t="str">
        <f>IF(ISBLANK(Prices!BW14),"",Prices!BW14)</f>
        <v/>
      </c>
      <c r="BX16" s="1" t="str">
        <f>IF(ISBLANK(Prices!BX14),"",Prices!BX14)</f>
        <v/>
      </c>
      <c r="BY16" s="1" t="str">
        <f>IF(ISBLANK(Prices!BY14),"",Prices!BY14)</f>
        <v/>
      </c>
      <c r="BZ16" s="1" t="str">
        <f>IF(ISBLANK(Prices!BZ14),"",Prices!BZ14)</f>
        <v/>
      </c>
      <c r="CA16" s="1" t="str">
        <f>IF(ISBLANK(Prices!CA14),"",Prices!CA14)</f>
        <v/>
      </c>
      <c r="CB16" s="1" t="str">
        <f>IF(ISBLANK(Prices!CB14),"",Prices!CB14)</f>
        <v/>
      </c>
      <c r="CC16" s="1" t="str">
        <f>IF(ISBLANK(Prices!CC14),"",Prices!CC14)</f>
        <v/>
      </c>
      <c r="CD16" s="1" t="str">
        <f>IF(ISBLANK(Prices!CD14),"",Prices!CD14)</f>
        <v/>
      </c>
      <c r="CE16" s="1" t="str">
        <f>IF(ISBLANK(Prices!CE14),"",Prices!CE14)</f>
        <v/>
      </c>
      <c r="CF16" s="1" t="str">
        <f>IF(ISBLANK(Prices!CF14),"",Prices!CF14)</f>
        <v/>
      </c>
      <c r="CG16" s="1" t="str">
        <f>IF(ISBLANK(Prices!CG14),"",Prices!CG14)</f>
        <v/>
      </c>
      <c r="CH16" s="1" t="str">
        <f>IF(ISBLANK(Prices!CH14),"",Prices!CH14)</f>
        <v/>
      </c>
      <c r="CI16" s="1" t="str">
        <f>IF(ISBLANK(Prices!CI14),"",Prices!CI14)</f>
        <v/>
      </c>
      <c r="CJ16" s="1" t="str">
        <f>IF(ISBLANK(Prices!CJ14),"",Prices!CJ14)</f>
        <v/>
      </c>
      <c r="CK16" s="1" t="str">
        <f>IF(ISBLANK(Prices!CK14),"",Prices!CK14)</f>
        <v/>
      </c>
      <c r="CL16" s="1" t="str">
        <f>IF(ISBLANK(Prices!CL14),"",Prices!CL14)</f>
        <v/>
      </c>
      <c r="CM16" s="1" t="str">
        <f>IF(ISBLANK(Prices!CM14),"",Prices!CM14)</f>
        <v/>
      </c>
      <c r="CN16" s="1" t="str">
        <f>IF(ISBLANK(Prices!CN14),"",Prices!CN14)</f>
        <v/>
      </c>
    </row>
    <row r="17" spans="2:92" x14ac:dyDescent="0.25">
      <c r="B17" s="1" t="str">
        <f>IF(ISBLANK(Prices!A15),"",Prices!A15)</f>
        <v/>
      </c>
      <c r="C17" s="1" t="str">
        <f>IF(ISBLANK(Prices!C15),"",Prices!C15)</f>
        <v/>
      </c>
      <c r="D17" s="1" t="str">
        <f>IF(ISBLANK(Prices!D15),"",Prices!D15)</f>
        <v/>
      </c>
      <c r="E17" s="1" t="str">
        <f>IF(ISBLANK(Prices!E15),"",Prices!E15)</f>
        <v/>
      </c>
      <c r="F17" s="1" t="str">
        <f>IF(ISBLANK(Prices!F15),"",Prices!F15)</f>
        <v/>
      </c>
      <c r="G17" s="1" t="str">
        <f>IF(ISBLANK(Prices!G15),"",Prices!G15)</f>
        <v/>
      </c>
      <c r="H17" s="1" t="str">
        <f>IF(ISBLANK(Prices!H15),"",Prices!H15)</f>
        <v/>
      </c>
      <c r="I17" s="1" t="str">
        <f>IF(ISBLANK(Prices!I15),"",Prices!I15)</f>
        <v/>
      </c>
      <c r="J17" s="1" t="str">
        <f>IF(ISBLANK(Prices!J15),"",Prices!J15)</f>
        <v/>
      </c>
      <c r="K17" s="1" t="str">
        <f>IF(ISBLANK(Prices!K15),"",Prices!K15)</f>
        <v/>
      </c>
      <c r="L17" s="1" t="str">
        <f>IF(ISBLANK(Prices!L15),"",Prices!L15)</f>
        <v/>
      </c>
      <c r="M17" s="1" t="str">
        <f>IF(ISBLANK(Prices!M15),"",Prices!M15)</f>
        <v/>
      </c>
      <c r="N17" s="1" t="str">
        <f>IF(ISBLANK(Prices!N15),"",Prices!N15)</f>
        <v/>
      </c>
      <c r="O17" s="1" t="str">
        <f>IF(ISBLANK(Prices!O15),"",Prices!O15)</f>
        <v/>
      </c>
      <c r="P17" s="1" t="str">
        <f>IF(ISBLANK(Prices!P15),"",Prices!P15)</f>
        <v/>
      </c>
      <c r="Q17" s="1" t="str">
        <f>IF(ISBLANK(Prices!Q15),"",Prices!Q15)</f>
        <v/>
      </c>
      <c r="R17" s="1" t="str">
        <f>IF(ISBLANK(Prices!R15),"",Prices!R15)</f>
        <v/>
      </c>
      <c r="S17" s="1" t="str">
        <f>IF(ISBLANK(Prices!S15),"",Prices!S15)</f>
        <v/>
      </c>
      <c r="T17" s="1" t="str">
        <f>IF(ISBLANK(Prices!T15),"",Prices!T15)</f>
        <v/>
      </c>
      <c r="U17" s="1" t="str">
        <f>IF(ISBLANK(Prices!U15),"",Prices!U15)</f>
        <v/>
      </c>
      <c r="V17" s="1" t="str">
        <f>IF(ISBLANK(Prices!V15),"",Prices!V15)</f>
        <v/>
      </c>
      <c r="W17" s="1" t="str">
        <f>IF(ISBLANK(Prices!W15),"",Prices!W15)</f>
        <v/>
      </c>
      <c r="X17" s="1" t="str">
        <f>IF(ISBLANK(Prices!X15),"",Prices!X15)</f>
        <v/>
      </c>
      <c r="Y17" s="1" t="str">
        <f>IF(ISBLANK(Prices!Y15),"",Prices!Y15)</f>
        <v/>
      </c>
      <c r="Z17" s="1" t="str">
        <f>IF(ISBLANK(Prices!Z15),"",Prices!Z15)</f>
        <v/>
      </c>
      <c r="AA17" s="1" t="str">
        <f>IF(ISBLANK(Prices!AA15),"",Prices!AA15)</f>
        <v/>
      </c>
      <c r="AB17" s="1" t="str">
        <f>IF(ISBLANK(Prices!AB15),"",Prices!AB15)</f>
        <v/>
      </c>
      <c r="AC17" s="1" t="str">
        <f>IF(ISBLANK(Prices!AC15),"",Prices!AC15)</f>
        <v/>
      </c>
      <c r="AD17" s="1" t="str">
        <f>IF(ISBLANK(Prices!AD15),"",Prices!AD15)</f>
        <v/>
      </c>
      <c r="AE17" s="1" t="str">
        <f>IF(ISBLANK(Prices!AE15),"",Prices!AE15)</f>
        <v/>
      </c>
      <c r="AF17" s="1" t="str">
        <f>IF(ISBLANK(Prices!AF15),"",Prices!AF15)</f>
        <v/>
      </c>
      <c r="AG17" s="1" t="str">
        <f>IF(ISBLANK(Prices!AG15),"",Prices!AG15)</f>
        <v/>
      </c>
      <c r="AH17" s="1" t="str">
        <f>IF(ISBLANK(Prices!AH15),"",Prices!AH15)</f>
        <v/>
      </c>
      <c r="AI17" s="1" t="str">
        <f>IF(ISBLANK(Prices!AI15),"",Prices!AI15)</f>
        <v/>
      </c>
      <c r="AJ17" s="1" t="str">
        <f>IF(ISBLANK(Prices!AJ15),"",Prices!AJ15)</f>
        <v/>
      </c>
      <c r="AK17" s="1" t="str">
        <f>IF(ISBLANK(Prices!AK15),"",Prices!AK15)</f>
        <v/>
      </c>
      <c r="AL17" s="1" t="str">
        <f>IF(ISBLANK(Prices!AL15),"",Prices!AL15)</f>
        <v/>
      </c>
      <c r="AM17" s="1" t="str">
        <f>IF(ISBLANK(Prices!AM15),"",Prices!AM15)</f>
        <v/>
      </c>
      <c r="AN17" s="1" t="str">
        <f>IF(ISBLANK(Prices!AN15),"",Prices!AN15)</f>
        <v/>
      </c>
      <c r="AO17" s="1" t="str">
        <f>IF(ISBLANK(Prices!AO15),"",Prices!AO15)</f>
        <v/>
      </c>
      <c r="AP17" s="1" t="str">
        <f>IF(ISBLANK(Prices!AP15),"",Prices!AP15)</f>
        <v/>
      </c>
      <c r="AQ17" s="1" t="str">
        <f>IF(ISBLANK(Prices!AQ15),"",Prices!AQ15)</f>
        <v/>
      </c>
      <c r="AR17" s="1" t="str">
        <f>IF(ISBLANK(Prices!AR15),"",Prices!AR15)</f>
        <v/>
      </c>
      <c r="AS17" s="1" t="str">
        <f>IF(ISBLANK(Prices!AS15),"",Prices!AS15)</f>
        <v/>
      </c>
      <c r="AT17" s="1" t="str">
        <f>IF(ISBLANK(Prices!AT15),"",Prices!AT15)</f>
        <v/>
      </c>
      <c r="AU17" s="1" t="str">
        <f>IF(ISBLANK(Prices!AU15),"",Prices!AU15)</f>
        <v/>
      </c>
      <c r="AV17" s="1" t="str">
        <f>IF(ISBLANK(Prices!AV15),"",Prices!AV15)</f>
        <v/>
      </c>
      <c r="AW17" s="1" t="str">
        <f>IF(ISBLANK(Prices!AW15),"",Prices!AW15)</f>
        <v/>
      </c>
      <c r="AX17" s="1" t="str">
        <f>IF(ISBLANK(Prices!AX15),"",Prices!AX15)</f>
        <v/>
      </c>
      <c r="AY17" s="1" t="str">
        <f>IF(ISBLANK(Prices!AY15),"",Prices!AY15)</f>
        <v/>
      </c>
      <c r="AZ17" s="1" t="str">
        <f>IF(ISBLANK(Prices!AZ15),"",Prices!AZ15)</f>
        <v/>
      </c>
      <c r="BA17" s="1" t="str">
        <f>IF(ISBLANK(Prices!BA15),"",Prices!BA15)</f>
        <v/>
      </c>
      <c r="BB17" s="1" t="str">
        <f>IF(ISBLANK(Prices!BB15),"",Prices!BB15)</f>
        <v/>
      </c>
      <c r="BC17" s="1" t="str">
        <f>IF(ISBLANK(Prices!BC15),"",Prices!BC15)</f>
        <v/>
      </c>
      <c r="BD17" s="1" t="str">
        <f>IF(ISBLANK(Prices!BD15),"",Prices!BD15)</f>
        <v/>
      </c>
      <c r="BE17" s="1" t="str">
        <f>IF(ISBLANK(Prices!BE15),"",Prices!BE15)</f>
        <v/>
      </c>
      <c r="BF17" s="1" t="str">
        <f>IF(ISBLANK(Prices!BF15),"",Prices!BF15)</f>
        <v/>
      </c>
      <c r="BG17" s="1" t="str">
        <f>IF(ISBLANK(Prices!BG15),"",Prices!BG15)</f>
        <v/>
      </c>
      <c r="BH17" s="1" t="str">
        <f>IF(ISBLANK(Prices!BH15),"",Prices!BH15)</f>
        <v/>
      </c>
      <c r="BI17" s="1" t="str">
        <f>IF(ISBLANK(Prices!BI15),"",Prices!BI15)</f>
        <v/>
      </c>
      <c r="BJ17" s="1" t="str">
        <f>IF(ISBLANK(Prices!BJ15),"",Prices!BJ15)</f>
        <v/>
      </c>
      <c r="BK17" s="1" t="str">
        <f>IF(ISBLANK(Prices!BK15),"",Prices!BK15)</f>
        <v/>
      </c>
      <c r="BL17" s="1" t="str">
        <f>IF(ISBLANK(Prices!BL15),"",Prices!BL15)</f>
        <v/>
      </c>
      <c r="BM17" s="1" t="str">
        <f>IF(ISBLANK(Prices!BM15),"",Prices!BM15)</f>
        <v/>
      </c>
      <c r="BN17" s="1" t="str">
        <f>IF(ISBLANK(Prices!BN15),"",Prices!BN15)</f>
        <v/>
      </c>
      <c r="BO17" s="1" t="str">
        <f>IF(ISBLANK(Prices!BO15),"",Prices!BO15)</f>
        <v/>
      </c>
      <c r="BP17" s="1" t="str">
        <f>IF(ISBLANK(Prices!BP15),"",Prices!BP15)</f>
        <v/>
      </c>
      <c r="BQ17" s="1" t="str">
        <f>IF(ISBLANK(Prices!BQ15),"",Prices!BQ15)</f>
        <v/>
      </c>
      <c r="BR17" s="1" t="str">
        <f>IF(ISBLANK(Prices!BR15),"",Prices!BR15)</f>
        <v/>
      </c>
      <c r="BS17" s="1" t="str">
        <f>IF(ISBLANK(Prices!BS15),"",Prices!BS15)</f>
        <v/>
      </c>
      <c r="BT17" s="1" t="str">
        <f>IF(ISBLANK(Prices!BT15),"",Prices!BT15)</f>
        <v/>
      </c>
      <c r="BU17" s="1" t="str">
        <f>IF(ISBLANK(Prices!BU15),"",Prices!BU15)</f>
        <v/>
      </c>
      <c r="BV17" s="1" t="str">
        <f>IF(ISBLANK(Prices!BV15),"",Prices!BV15)</f>
        <v/>
      </c>
      <c r="BW17" s="1" t="str">
        <f>IF(ISBLANK(Prices!BW15),"",Prices!BW15)</f>
        <v/>
      </c>
      <c r="BX17" s="1" t="str">
        <f>IF(ISBLANK(Prices!BX15),"",Prices!BX15)</f>
        <v/>
      </c>
      <c r="BY17" s="1" t="str">
        <f>IF(ISBLANK(Prices!BY15),"",Prices!BY15)</f>
        <v/>
      </c>
      <c r="BZ17" s="1" t="str">
        <f>IF(ISBLANK(Prices!BZ15),"",Prices!BZ15)</f>
        <v/>
      </c>
      <c r="CA17" s="1" t="str">
        <f>IF(ISBLANK(Prices!CA15),"",Prices!CA15)</f>
        <v/>
      </c>
      <c r="CB17" s="1" t="str">
        <f>IF(ISBLANK(Prices!CB15),"",Prices!CB15)</f>
        <v/>
      </c>
      <c r="CC17" s="1" t="str">
        <f>IF(ISBLANK(Prices!CC15),"",Prices!CC15)</f>
        <v/>
      </c>
      <c r="CD17" s="1" t="str">
        <f>IF(ISBLANK(Prices!CD15),"",Prices!CD15)</f>
        <v/>
      </c>
      <c r="CE17" s="1" t="str">
        <f>IF(ISBLANK(Prices!CE15),"",Prices!CE15)</f>
        <v/>
      </c>
      <c r="CF17" s="1" t="str">
        <f>IF(ISBLANK(Prices!CF15),"",Prices!CF15)</f>
        <v/>
      </c>
      <c r="CG17" s="1" t="str">
        <f>IF(ISBLANK(Prices!CG15),"",Prices!CG15)</f>
        <v/>
      </c>
      <c r="CH17" s="1" t="str">
        <f>IF(ISBLANK(Prices!CH15),"",Prices!CH15)</f>
        <v/>
      </c>
      <c r="CI17" s="1" t="str">
        <f>IF(ISBLANK(Prices!CI15),"",Prices!CI15)</f>
        <v/>
      </c>
      <c r="CJ17" s="1" t="str">
        <f>IF(ISBLANK(Prices!CJ15),"",Prices!CJ15)</f>
        <v/>
      </c>
      <c r="CK17" s="1" t="str">
        <f>IF(ISBLANK(Prices!CK15),"",Prices!CK15)</f>
        <v/>
      </c>
      <c r="CL17" s="1" t="str">
        <f>IF(ISBLANK(Prices!CL15),"",Prices!CL15)</f>
        <v/>
      </c>
      <c r="CM17" s="1" t="str">
        <f>IF(ISBLANK(Prices!CM15),"",Prices!CM15)</f>
        <v/>
      </c>
      <c r="CN17" s="1" t="str">
        <f>IF(ISBLANK(Prices!CN15),"",Prices!CN15)</f>
        <v/>
      </c>
    </row>
    <row r="18" spans="2:92" x14ac:dyDescent="0.25">
      <c r="B18" s="1" t="str">
        <f>IF(ISBLANK(Prices!A16),"",Prices!A16)</f>
        <v/>
      </c>
      <c r="C18" s="1" t="str">
        <f>IF(ISBLANK(Prices!C16),"",Prices!C16)</f>
        <v/>
      </c>
      <c r="D18" s="1" t="str">
        <f>IF(ISBLANK(Prices!D16),"",Prices!D16)</f>
        <v/>
      </c>
      <c r="E18" s="1" t="str">
        <f>IF(ISBLANK(Prices!E16),"",Prices!E16)</f>
        <v/>
      </c>
      <c r="F18" s="1" t="str">
        <f>IF(ISBLANK(Prices!F16),"",Prices!F16)</f>
        <v/>
      </c>
      <c r="G18" s="1" t="str">
        <f>IF(ISBLANK(Prices!G16),"",Prices!G16)</f>
        <v/>
      </c>
      <c r="H18" s="1" t="str">
        <f>IF(ISBLANK(Prices!H16),"",Prices!H16)</f>
        <v/>
      </c>
      <c r="I18" s="1" t="str">
        <f>IF(ISBLANK(Prices!I16),"",Prices!I16)</f>
        <v/>
      </c>
      <c r="J18" s="1" t="str">
        <f>IF(ISBLANK(Prices!J16),"",Prices!J16)</f>
        <v/>
      </c>
      <c r="K18" s="1" t="str">
        <f>IF(ISBLANK(Prices!K16),"",Prices!K16)</f>
        <v/>
      </c>
      <c r="L18" s="1" t="str">
        <f>IF(ISBLANK(Prices!L16),"",Prices!L16)</f>
        <v/>
      </c>
      <c r="M18" s="1" t="str">
        <f>IF(ISBLANK(Prices!M16),"",Prices!M16)</f>
        <v/>
      </c>
      <c r="N18" s="1" t="str">
        <f>IF(ISBLANK(Prices!N16),"",Prices!N16)</f>
        <v/>
      </c>
      <c r="O18" s="1" t="str">
        <f>IF(ISBLANK(Prices!O16),"",Prices!O16)</f>
        <v/>
      </c>
      <c r="P18" s="1" t="str">
        <f>IF(ISBLANK(Prices!P16),"",Prices!P16)</f>
        <v/>
      </c>
      <c r="Q18" s="1" t="str">
        <f>IF(ISBLANK(Prices!Q16),"",Prices!Q16)</f>
        <v/>
      </c>
      <c r="R18" s="1" t="str">
        <f>IF(ISBLANK(Prices!R16),"",Prices!R16)</f>
        <v/>
      </c>
      <c r="S18" s="1" t="str">
        <f>IF(ISBLANK(Prices!S16),"",Prices!S16)</f>
        <v/>
      </c>
      <c r="T18" s="1" t="str">
        <f>IF(ISBLANK(Prices!T16),"",Prices!T16)</f>
        <v/>
      </c>
      <c r="U18" s="1" t="str">
        <f>IF(ISBLANK(Prices!U16),"",Prices!U16)</f>
        <v/>
      </c>
      <c r="V18" s="1" t="str">
        <f>IF(ISBLANK(Prices!V16),"",Prices!V16)</f>
        <v/>
      </c>
      <c r="W18" s="1" t="str">
        <f>IF(ISBLANK(Prices!W16),"",Prices!W16)</f>
        <v/>
      </c>
      <c r="X18" s="1" t="str">
        <f>IF(ISBLANK(Prices!X16),"",Prices!X16)</f>
        <v/>
      </c>
      <c r="Y18" s="1" t="str">
        <f>IF(ISBLANK(Prices!Y16),"",Prices!Y16)</f>
        <v/>
      </c>
      <c r="Z18" s="1" t="str">
        <f>IF(ISBLANK(Prices!Z16),"",Prices!Z16)</f>
        <v/>
      </c>
      <c r="AA18" s="1" t="str">
        <f>IF(ISBLANK(Prices!AA16),"",Prices!AA16)</f>
        <v/>
      </c>
      <c r="AB18" s="1" t="str">
        <f>IF(ISBLANK(Prices!AB16),"",Prices!AB16)</f>
        <v/>
      </c>
      <c r="AC18" s="1" t="str">
        <f>IF(ISBLANK(Prices!AC16),"",Prices!AC16)</f>
        <v/>
      </c>
      <c r="AD18" s="1" t="str">
        <f>IF(ISBLANK(Prices!AD16),"",Prices!AD16)</f>
        <v/>
      </c>
      <c r="AE18" s="1" t="str">
        <f>IF(ISBLANK(Prices!AE16),"",Prices!AE16)</f>
        <v/>
      </c>
      <c r="AF18" s="1" t="str">
        <f>IF(ISBLANK(Prices!AF16),"",Prices!AF16)</f>
        <v/>
      </c>
      <c r="AG18" s="1" t="str">
        <f>IF(ISBLANK(Prices!AG16),"",Prices!AG16)</f>
        <v/>
      </c>
      <c r="AH18" s="1" t="str">
        <f>IF(ISBLANK(Prices!AH16),"",Prices!AH16)</f>
        <v/>
      </c>
      <c r="AI18" s="1" t="str">
        <f>IF(ISBLANK(Prices!AI16),"",Prices!AI16)</f>
        <v/>
      </c>
      <c r="AJ18" s="1" t="str">
        <f>IF(ISBLANK(Prices!AJ16),"",Prices!AJ16)</f>
        <v/>
      </c>
      <c r="AK18" s="1" t="str">
        <f>IF(ISBLANK(Prices!AK16),"",Prices!AK16)</f>
        <v/>
      </c>
      <c r="AL18" s="1" t="str">
        <f>IF(ISBLANK(Prices!AL16),"",Prices!AL16)</f>
        <v/>
      </c>
      <c r="AM18" s="1" t="str">
        <f>IF(ISBLANK(Prices!AM16),"",Prices!AM16)</f>
        <v/>
      </c>
      <c r="AN18" s="1" t="str">
        <f>IF(ISBLANK(Prices!AN16),"",Prices!AN16)</f>
        <v/>
      </c>
      <c r="AO18" s="1" t="str">
        <f>IF(ISBLANK(Prices!AO16),"",Prices!AO16)</f>
        <v/>
      </c>
      <c r="AP18" s="1" t="str">
        <f>IF(ISBLANK(Prices!AP16),"",Prices!AP16)</f>
        <v/>
      </c>
      <c r="AQ18" s="1" t="str">
        <f>IF(ISBLANK(Prices!AQ16),"",Prices!AQ16)</f>
        <v/>
      </c>
      <c r="AR18" s="1" t="str">
        <f>IF(ISBLANK(Prices!AR16),"",Prices!AR16)</f>
        <v/>
      </c>
      <c r="AS18" s="1" t="str">
        <f>IF(ISBLANK(Prices!AS16),"",Prices!AS16)</f>
        <v/>
      </c>
      <c r="AT18" s="1" t="str">
        <f>IF(ISBLANK(Prices!AT16),"",Prices!AT16)</f>
        <v/>
      </c>
      <c r="AU18" s="1" t="str">
        <f>IF(ISBLANK(Prices!AU16),"",Prices!AU16)</f>
        <v/>
      </c>
      <c r="AV18" s="1" t="str">
        <f>IF(ISBLANK(Prices!AV16),"",Prices!AV16)</f>
        <v/>
      </c>
      <c r="AW18" s="1" t="str">
        <f>IF(ISBLANK(Prices!AW16),"",Prices!AW16)</f>
        <v/>
      </c>
      <c r="AX18" s="1" t="str">
        <f>IF(ISBLANK(Prices!AX16),"",Prices!AX16)</f>
        <v/>
      </c>
      <c r="AY18" s="1" t="str">
        <f>IF(ISBLANK(Prices!AY16),"",Prices!AY16)</f>
        <v/>
      </c>
      <c r="AZ18" s="1" t="str">
        <f>IF(ISBLANK(Prices!AZ16),"",Prices!AZ16)</f>
        <v/>
      </c>
      <c r="BA18" s="1" t="str">
        <f>IF(ISBLANK(Prices!BA16),"",Prices!BA16)</f>
        <v/>
      </c>
      <c r="BB18" s="1" t="str">
        <f>IF(ISBLANK(Prices!BB16),"",Prices!BB16)</f>
        <v/>
      </c>
      <c r="BC18" s="1" t="str">
        <f>IF(ISBLANK(Prices!BC16),"",Prices!BC16)</f>
        <v/>
      </c>
      <c r="BD18" s="1" t="str">
        <f>IF(ISBLANK(Prices!BD16),"",Prices!BD16)</f>
        <v/>
      </c>
      <c r="BE18" s="1" t="str">
        <f>IF(ISBLANK(Prices!BE16),"",Prices!BE16)</f>
        <v/>
      </c>
      <c r="BF18" s="1" t="str">
        <f>IF(ISBLANK(Prices!BF16),"",Prices!BF16)</f>
        <v/>
      </c>
      <c r="BG18" s="1" t="str">
        <f>IF(ISBLANK(Prices!BG16),"",Prices!BG16)</f>
        <v/>
      </c>
      <c r="BH18" s="1" t="str">
        <f>IF(ISBLANK(Prices!BH16),"",Prices!BH16)</f>
        <v/>
      </c>
      <c r="BI18" s="1" t="str">
        <f>IF(ISBLANK(Prices!BI16),"",Prices!BI16)</f>
        <v/>
      </c>
      <c r="BJ18" s="1" t="str">
        <f>IF(ISBLANK(Prices!BJ16),"",Prices!BJ16)</f>
        <v/>
      </c>
      <c r="BK18" s="1" t="str">
        <f>IF(ISBLANK(Prices!BK16),"",Prices!BK16)</f>
        <v/>
      </c>
      <c r="BL18" s="1" t="str">
        <f>IF(ISBLANK(Prices!BL16),"",Prices!BL16)</f>
        <v/>
      </c>
      <c r="BM18" s="1" t="str">
        <f>IF(ISBLANK(Prices!BM16),"",Prices!BM16)</f>
        <v/>
      </c>
      <c r="BN18" s="1" t="str">
        <f>IF(ISBLANK(Prices!BN16),"",Prices!BN16)</f>
        <v/>
      </c>
      <c r="BO18" s="1" t="str">
        <f>IF(ISBLANK(Prices!BO16),"",Prices!BO16)</f>
        <v/>
      </c>
      <c r="BP18" s="1" t="str">
        <f>IF(ISBLANK(Prices!BP16),"",Prices!BP16)</f>
        <v/>
      </c>
      <c r="BQ18" s="1" t="str">
        <f>IF(ISBLANK(Prices!BQ16),"",Prices!BQ16)</f>
        <v/>
      </c>
      <c r="BR18" s="1" t="str">
        <f>IF(ISBLANK(Prices!BR16),"",Prices!BR16)</f>
        <v/>
      </c>
      <c r="BS18" s="1" t="str">
        <f>IF(ISBLANK(Prices!BS16),"",Prices!BS16)</f>
        <v/>
      </c>
      <c r="BT18" s="1" t="str">
        <f>IF(ISBLANK(Prices!BT16),"",Prices!BT16)</f>
        <v/>
      </c>
      <c r="BU18" s="1" t="str">
        <f>IF(ISBLANK(Prices!BU16),"",Prices!BU16)</f>
        <v/>
      </c>
      <c r="BV18" s="1" t="str">
        <f>IF(ISBLANK(Prices!BV16),"",Prices!BV16)</f>
        <v/>
      </c>
      <c r="BW18" s="1" t="str">
        <f>IF(ISBLANK(Prices!BW16),"",Prices!BW16)</f>
        <v/>
      </c>
      <c r="BX18" s="1" t="str">
        <f>IF(ISBLANK(Prices!BX16),"",Prices!BX16)</f>
        <v/>
      </c>
      <c r="BY18" s="1" t="str">
        <f>IF(ISBLANK(Prices!BY16),"",Prices!BY16)</f>
        <v/>
      </c>
      <c r="BZ18" s="1" t="str">
        <f>IF(ISBLANK(Prices!BZ16),"",Prices!BZ16)</f>
        <v/>
      </c>
      <c r="CA18" s="1" t="str">
        <f>IF(ISBLANK(Prices!CA16),"",Prices!CA16)</f>
        <v/>
      </c>
      <c r="CB18" s="1" t="str">
        <f>IF(ISBLANK(Prices!CB16),"",Prices!CB16)</f>
        <v/>
      </c>
      <c r="CC18" s="1" t="str">
        <f>IF(ISBLANK(Prices!CC16),"",Prices!CC16)</f>
        <v/>
      </c>
      <c r="CD18" s="1" t="str">
        <f>IF(ISBLANK(Prices!CD16),"",Prices!CD16)</f>
        <v/>
      </c>
      <c r="CE18" s="1" t="str">
        <f>IF(ISBLANK(Prices!CE16),"",Prices!CE16)</f>
        <v/>
      </c>
      <c r="CF18" s="1" t="str">
        <f>IF(ISBLANK(Prices!CF16),"",Prices!CF16)</f>
        <v/>
      </c>
      <c r="CG18" s="1" t="str">
        <f>IF(ISBLANK(Prices!CG16),"",Prices!CG16)</f>
        <v/>
      </c>
      <c r="CH18" s="1" t="str">
        <f>IF(ISBLANK(Prices!CH16),"",Prices!CH16)</f>
        <v/>
      </c>
      <c r="CI18" s="1" t="str">
        <f>IF(ISBLANK(Prices!CI16),"",Prices!CI16)</f>
        <v/>
      </c>
      <c r="CJ18" s="1" t="str">
        <f>IF(ISBLANK(Prices!CJ16),"",Prices!CJ16)</f>
        <v/>
      </c>
      <c r="CK18" s="1" t="str">
        <f>IF(ISBLANK(Prices!CK16),"",Prices!CK16)</f>
        <v/>
      </c>
      <c r="CL18" s="1" t="str">
        <f>IF(ISBLANK(Prices!CL16),"",Prices!CL16)</f>
        <v/>
      </c>
      <c r="CM18" s="1" t="str">
        <f>IF(ISBLANK(Prices!CM16),"",Prices!CM16)</f>
        <v/>
      </c>
      <c r="CN18" s="1" t="str">
        <f>IF(ISBLANK(Prices!CN16),"",Prices!CN16)</f>
        <v/>
      </c>
    </row>
    <row r="19" spans="2:92" x14ac:dyDescent="0.25">
      <c r="B19" s="1" t="str">
        <f>IF(ISBLANK(Prices!A17),"",Prices!A17)</f>
        <v/>
      </c>
      <c r="C19" s="1" t="str">
        <f>IF(ISBLANK(Prices!C17),"",Prices!C17)</f>
        <v/>
      </c>
      <c r="D19" s="1" t="str">
        <f>IF(ISBLANK(Prices!D17),"",Prices!D17)</f>
        <v/>
      </c>
      <c r="E19" s="1" t="str">
        <f>IF(ISBLANK(Prices!E17),"",Prices!E17)</f>
        <v/>
      </c>
      <c r="F19" s="1" t="str">
        <f>IF(ISBLANK(Prices!F17),"",Prices!F17)</f>
        <v/>
      </c>
      <c r="G19" s="1" t="str">
        <f>IF(ISBLANK(Prices!G17),"",Prices!G17)</f>
        <v/>
      </c>
      <c r="H19" s="1" t="str">
        <f>IF(ISBLANK(Prices!H17),"",Prices!H17)</f>
        <v/>
      </c>
      <c r="I19" s="1" t="str">
        <f>IF(ISBLANK(Prices!I17),"",Prices!I17)</f>
        <v/>
      </c>
      <c r="J19" s="1" t="str">
        <f>IF(ISBLANK(Prices!J17),"",Prices!J17)</f>
        <v/>
      </c>
      <c r="K19" s="1" t="str">
        <f>IF(ISBLANK(Prices!K17),"",Prices!K17)</f>
        <v/>
      </c>
      <c r="L19" s="1" t="str">
        <f>IF(ISBLANK(Prices!L17),"",Prices!L17)</f>
        <v/>
      </c>
      <c r="M19" s="1" t="str">
        <f>IF(ISBLANK(Prices!M17),"",Prices!M17)</f>
        <v/>
      </c>
      <c r="N19" s="1" t="str">
        <f>IF(ISBLANK(Prices!N17),"",Prices!N17)</f>
        <v/>
      </c>
      <c r="O19" s="1" t="str">
        <f>IF(ISBLANK(Prices!O17),"",Prices!O17)</f>
        <v/>
      </c>
      <c r="P19" s="1" t="str">
        <f>IF(ISBLANK(Prices!P17),"",Prices!P17)</f>
        <v/>
      </c>
      <c r="Q19" s="1" t="str">
        <f>IF(ISBLANK(Prices!Q17),"",Prices!Q17)</f>
        <v/>
      </c>
      <c r="R19" s="1" t="str">
        <f>IF(ISBLANK(Prices!R17),"",Prices!R17)</f>
        <v/>
      </c>
      <c r="S19" s="1" t="str">
        <f>IF(ISBLANK(Prices!S17),"",Prices!S17)</f>
        <v/>
      </c>
      <c r="T19" s="1" t="str">
        <f>IF(ISBLANK(Prices!T17),"",Prices!T17)</f>
        <v/>
      </c>
      <c r="U19" s="1" t="str">
        <f>IF(ISBLANK(Prices!U17),"",Prices!U17)</f>
        <v/>
      </c>
      <c r="V19" s="1" t="str">
        <f>IF(ISBLANK(Prices!V17),"",Prices!V17)</f>
        <v/>
      </c>
      <c r="W19" s="1" t="str">
        <f>IF(ISBLANK(Prices!W17),"",Prices!W17)</f>
        <v/>
      </c>
      <c r="X19" s="1" t="str">
        <f>IF(ISBLANK(Prices!X17),"",Prices!X17)</f>
        <v/>
      </c>
      <c r="Y19" s="1" t="str">
        <f>IF(ISBLANK(Prices!Y17),"",Prices!Y17)</f>
        <v/>
      </c>
      <c r="Z19" s="1" t="str">
        <f>IF(ISBLANK(Prices!Z17),"",Prices!Z17)</f>
        <v/>
      </c>
      <c r="AA19" s="1" t="str">
        <f>IF(ISBLANK(Prices!AA17),"",Prices!AA17)</f>
        <v/>
      </c>
      <c r="AB19" s="1" t="str">
        <f>IF(ISBLANK(Prices!AB17),"",Prices!AB17)</f>
        <v/>
      </c>
      <c r="AC19" s="1" t="str">
        <f>IF(ISBLANK(Prices!AC17),"",Prices!AC17)</f>
        <v/>
      </c>
      <c r="AD19" s="1" t="str">
        <f>IF(ISBLANK(Prices!AD17),"",Prices!AD17)</f>
        <v/>
      </c>
      <c r="AE19" s="1" t="str">
        <f>IF(ISBLANK(Prices!AE17),"",Prices!AE17)</f>
        <v/>
      </c>
      <c r="AF19" s="1" t="str">
        <f>IF(ISBLANK(Prices!AF17),"",Prices!AF17)</f>
        <v/>
      </c>
      <c r="AG19" s="1" t="str">
        <f>IF(ISBLANK(Prices!AG17),"",Prices!AG17)</f>
        <v/>
      </c>
      <c r="AH19" s="1" t="str">
        <f>IF(ISBLANK(Prices!AH17),"",Prices!AH17)</f>
        <v/>
      </c>
      <c r="AI19" s="1" t="str">
        <f>IF(ISBLANK(Prices!AI17),"",Prices!AI17)</f>
        <v/>
      </c>
      <c r="AJ19" s="1" t="str">
        <f>IF(ISBLANK(Prices!AJ17),"",Prices!AJ17)</f>
        <v/>
      </c>
      <c r="AK19" s="1" t="str">
        <f>IF(ISBLANK(Prices!AK17),"",Prices!AK17)</f>
        <v/>
      </c>
      <c r="AL19" s="1" t="str">
        <f>IF(ISBLANK(Prices!AL17),"",Prices!AL17)</f>
        <v/>
      </c>
      <c r="AM19" s="1" t="str">
        <f>IF(ISBLANK(Prices!AM17),"",Prices!AM17)</f>
        <v/>
      </c>
      <c r="AN19" s="1" t="str">
        <f>IF(ISBLANK(Prices!AN17),"",Prices!AN17)</f>
        <v/>
      </c>
      <c r="AO19" s="1" t="str">
        <f>IF(ISBLANK(Prices!AO17),"",Prices!AO17)</f>
        <v/>
      </c>
      <c r="AP19" s="1" t="str">
        <f>IF(ISBLANK(Prices!AP17),"",Prices!AP17)</f>
        <v/>
      </c>
      <c r="AQ19" s="1" t="str">
        <f>IF(ISBLANK(Prices!AQ17),"",Prices!AQ17)</f>
        <v/>
      </c>
      <c r="AR19" s="1" t="str">
        <f>IF(ISBLANK(Prices!AR17),"",Prices!AR17)</f>
        <v/>
      </c>
      <c r="AS19" s="1" t="str">
        <f>IF(ISBLANK(Prices!AS17),"",Prices!AS17)</f>
        <v/>
      </c>
      <c r="AT19" s="1" t="str">
        <f>IF(ISBLANK(Prices!AT17),"",Prices!AT17)</f>
        <v/>
      </c>
      <c r="AU19" s="1" t="str">
        <f>IF(ISBLANK(Prices!AU17),"",Prices!AU17)</f>
        <v/>
      </c>
      <c r="AV19" s="1" t="str">
        <f>IF(ISBLANK(Prices!AV17),"",Prices!AV17)</f>
        <v/>
      </c>
      <c r="AW19" s="1" t="str">
        <f>IF(ISBLANK(Prices!AW17),"",Prices!AW17)</f>
        <v/>
      </c>
      <c r="AX19" s="1" t="str">
        <f>IF(ISBLANK(Prices!AX17),"",Prices!AX17)</f>
        <v/>
      </c>
      <c r="AY19" s="1" t="str">
        <f>IF(ISBLANK(Prices!AY17),"",Prices!AY17)</f>
        <v/>
      </c>
      <c r="AZ19" s="1" t="str">
        <f>IF(ISBLANK(Prices!AZ17),"",Prices!AZ17)</f>
        <v/>
      </c>
      <c r="BA19" s="1" t="str">
        <f>IF(ISBLANK(Prices!BA17),"",Prices!BA17)</f>
        <v/>
      </c>
      <c r="BB19" s="1" t="str">
        <f>IF(ISBLANK(Prices!BB17),"",Prices!BB17)</f>
        <v/>
      </c>
      <c r="BC19" s="1" t="str">
        <f>IF(ISBLANK(Prices!BC17),"",Prices!BC17)</f>
        <v/>
      </c>
      <c r="BD19" s="1" t="str">
        <f>IF(ISBLANK(Prices!BD17),"",Prices!BD17)</f>
        <v/>
      </c>
      <c r="BE19" s="1" t="str">
        <f>IF(ISBLANK(Prices!BE17),"",Prices!BE17)</f>
        <v/>
      </c>
      <c r="BF19" s="1" t="str">
        <f>IF(ISBLANK(Prices!BF17),"",Prices!BF17)</f>
        <v/>
      </c>
      <c r="BG19" s="1" t="str">
        <f>IF(ISBLANK(Prices!BG17),"",Prices!BG17)</f>
        <v/>
      </c>
      <c r="BH19" s="1" t="str">
        <f>IF(ISBLANK(Prices!BH17),"",Prices!BH17)</f>
        <v/>
      </c>
      <c r="BI19" s="1" t="str">
        <f>IF(ISBLANK(Prices!BI17),"",Prices!BI17)</f>
        <v/>
      </c>
      <c r="BJ19" s="1" t="str">
        <f>IF(ISBLANK(Prices!BJ17),"",Prices!BJ17)</f>
        <v/>
      </c>
      <c r="BK19" s="1" t="str">
        <f>IF(ISBLANK(Prices!BK17),"",Prices!BK17)</f>
        <v/>
      </c>
      <c r="BL19" s="1" t="str">
        <f>IF(ISBLANK(Prices!BL17),"",Prices!BL17)</f>
        <v/>
      </c>
      <c r="BM19" s="1" t="str">
        <f>IF(ISBLANK(Prices!BM17),"",Prices!BM17)</f>
        <v/>
      </c>
      <c r="BN19" s="1" t="str">
        <f>IF(ISBLANK(Prices!BN17),"",Prices!BN17)</f>
        <v/>
      </c>
      <c r="BO19" s="1" t="str">
        <f>IF(ISBLANK(Prices!BO17),"",Prices!BO17)</f>
        <v/>
      </c>
      <c r="BP19" s="1" t="str">
        <f>IF(ISBLANK(Prices!BP17),"",Prices!BP17)</f>
        <v/>
      </c>
      <c r="BQ19" s="1" t="str">
        <f>IF(ISBLANK(Prices!BQ17),"",Prices!BQ17)</f>
        <v/>
      </c>
      <c r="BR19" s="1" t="str">
        <f>IF(ISBLANK(Prices!BR17),"",Prices!BR17)</f>
        <v/>
      </c>
      <c r="BS19" s="1" t="str">
        <f>IF(ISBLANK(Prices!BS17),"",Prices!BS17)</f>
        <v/>
      </c>
      <c r="BT19" s="1" t="str">
        <f>IF(ISBLANK(Prices!BT17),"",Prices!BT17)</f>
        <v/>
      </c>
      <c r="BU19" s="1" t="str">
        <f>IF(ISBLANK(Prices!BU17),"",Prices!BU17)</f>
        <v/>
      </c>
      <c r="BV19" s="1" t="str">
        <f>IF(ISBLANK(Prices!BV17),"",Prices!BV17)</f>
        <v/>
      </c>
      <c r="BW19" s="1" t="str">
        <f>IF(ISBLANK(Prices!BW17),"",Prices!BW17)</f>
        <v/>
      </c>
      <c r="BX19" s="1" t="str">
        <f>IF(ISBLANK(Prices!BX17),"",Prices!BX17)</f>
        <v/>
      </c>
      <c r="BY19" s="1" t="str">
        <f>IF(ISBLANK(Prices!BY17),"",Prices!BY17)</f>
        <v/>
      </c>
      <c r="BZ19" s="1" t="str">
        <f>IF(ISBLANK(Prices!BZ17),"",Prices!BZ17)</f>
        <v/>
      </c>
      <c r="CA19" s="1" t="str">
        <f>IF(ISBLANK(Prices!CA17),"",Prices!CA17)</f>
        <v/>
      </c>
      <c r="CB19" s="1" t="str">
        <f>IF(ISBLANK(Prices!CB17),"",Prices!CB17)</f>
        <v/>
      </c>
      <c r="CC19" s="1" t="str">
        <f>IF(ISBLANK(Prices!CC17),"",Prices!CC17)</f>
        <v/>
      </c>
      <c r="CD19" s="1" t="str">
        <f>IF(ISBLANK(Prices!CD17),"",Prices!CD17)</f>
        <v/>
      </c>
      <c r="CE19" s="1" t="str">
        <f>IF(ISBLANK(Prices!CE17),"",Prices!CE17)</f>
        <v/>
      </c>
      <c r="CF19" s="1" t="str">
        <f>IF(ISBLANK(Prices!CF17),"",Prices!CF17)</f>
        <v/>
      </c>
      <c r="CG19" s="1" t="str">
        <f>IF(ISBLANK(Prices!CG17),"",Prices!CG17)</f>
        <v/>
      </c>
      <c r="CH19" s="1" t="str">
        <f>IF(ISBLANK(Prices!CH17),"",Prices!CH17)</f>
        <v/>
      </c>
      <c r="CI19" s="1" t="str">
        <f>IF(ISBLANK(Prices!CI17),"",Prices!CI17)</f>
        <v/>
      </c>
      <c r="CJ19" s="1" t="str">
        <f>IF(ISBLANK(Prices!CJ17),"",Prices!CJ17)</f>
        <v/>
      </c>
      <c r="CK19" s="1" t="str">
        <f>IF(ISBLANK(Prices!CK17),"",Prices!CK17)</f>
        <v/>
      </c>
      <c r="CL19" s="1" t="str">
        <f>IF(ISBLANK(Prices!CL17),"",Prices!CL17)</f>
        <v/>
      </c>
      <c r="CM19" s="1" t="str">
        <f>IF(ISBLANK(Prices!CM17),"",Prices!CM17)</f>
        <v/>
      </c>
      <c r="CN19" s="1" t="str">
        <f>IF(ISBLANK(Prices!CN17),"",Prices!CN17)</f>
        <v/>
      </c>
    </row>
    <row r="20" spans="2:92" x14ac:dyDescent="0.25">
      <c r="B20" s="1" t="str">
        <f>IF(ISBLANK(Prices!A18),"",Prices!A18)</f>
        <v/>
      </c>
      <c r="C20" s="1" t="str">
        <f>IF(ISBLANK(Prices!C18),"",Prices!C18)</f>
        <v/>
      </c>
      <c r="D20" s="1" t="str">
        <f>IF(ISBLANK(Prices!D18),"",Prices!D18)</f>
        <v/>
      </c>
      <c r="E20" s="1" t="str">
        <f>IF(ISBLANK(Prices!E18),"",Prices!E18)</f>
        <v/>
      </c>
      <c r="F20" s="1" t="str">
        <f>IF(ISBLANK(Prices!F18),"",Prices!F18)</f>
        <v/>
      </c>
      <c r="G20" s="1" t="str">
        <f>IF(ISBLANK(Prices!G18),"",Prices!G18)</f>
        <v/>
      </c>
      <c r="H20" s="1" t="str">
        <f>IF(ISBLANK(Prices!H18),"",Prices!H18)</f>
        <v/>
      </c>
      <c r="I20" s="1" t="str">
        <f>IF(ISBLANK(Prices!I18),"",Prices!I18)</f>
        <v/>
      </c>
      <c r="J20" s="1" t="str">
        <f>IF(ISBLANK(Prices!J18),"",Prices!J18)</f>
        <v/>
      </c>
      <c r="K20" s="1" t="str">
        <f>IF(ISBLANK(Prices!K18),"",Prices!K18)</f>
        <v/>
      </c>
      <c r="L20" s="1" t="str">
        <f>IF(ISBLANK(Prices!L18),"",Prices!L18)</f>
        <v/>
      </c>
      <c r="M20" s="1" t="str">
        <f>IF(ISBLANK(Prices!M18),"",Prices!M18)</f>
        <v/>
      </c>
      <c r="N20" s="1" t="str">
        <f>IF(ISBLANK(Prices!N18),"",Prices!N18)</f>
        <v/>
      </c>
      <c r="O20" s="1" t="str">
        <f>IF(ISBLANK(Prices!O18),"",Prices!O18)</f>
        <v/>
      </c>
      <c r="P20" s="1" t="str">
        <f>IF(ISBLANK(Prices!P18),"",Prices!P18)</f>
        <v/>
      </c>
      <c r="Q20" s="1" t="str">
        <f>IF(ISBLANK(Prices!Q18),"",Prices!Q18)</f>
        <v/>
      </c>
      <c r="R20" s="1" t="str">
        <f>IF(ISBLANK(Prices!R18),"",Prices!R18)</f>
        <v/>
      </c>
      <c r="S20" s="1" t="str">
        <f>IF(ISBLANK(Prices!S18),"",Prices!S18)</f>
        <v/>
      </c>
      <c r="T20" s="1" t="str">
        <f>IF(ISBLANK(Prices!T18),"",Prices!T18)</f>
        <v/>
      </c>
      <c r="U20" s="1" t="str">
        <f>IF(ISBLANK(Prices!U18),"",Prices!U18)</f>
        <v/>
      </c>
      <c r="V20" s="1" t="str">
        <f>IF(ISBLANK(Prices!V18),"",Prices!V18)</f>
        <v/>
      </c>
      <c r="W20" s="1" t="str">
        <f>IF(ISBLANK(Prices!W18),"",Prices!W18)</f>
        <v/>
      </c>
      <c r="X20" s="1" t="str">
        <f>IF(ISBLANK(Prices!X18),"",Prices!X18)</f>
        <v/>
      </c>
      <c r="Y20" s="1" t="str">
        <f>IF(ISBLANK(Prices!Y18),"",Prices!Y18)</f>
        <v/>
      </c>
      <c r="Z20" s="1" t="str">
        <f>IF(ISBLANK(Prices!Z18),"",Prices!Z18)</f>
        <v/>
      </c>
      <c r="AA20" s="1" t="str">
        <f>IF(ISBLANK(Prices!AA18),"",Prices!AA18)</f>
        <v/>
      </c>
      <c r="AB20" s="1" t="str">
        <f>IF(ISBLANK(Prices!AB18),"",Prices!AB18)</f>
        <v/>
      </c>
      <c r="AC20" s="1" t="str">
        <f>IF(ISBLANK(Prices!AC18),"",Prices!AC18)</f>
        <v/>
      </c>
      <c r="AD20" s="1" t="str">
        <f>IF(ISBLANK(Prices!AD18),"",Prices!AD18)</f>
        <v/>
      </c>
      <c r="AE20" s="1" t="str">
        <f>IF(ISBLANK(Prices!AE18),"",Prices!AE18)</f>
        <v/>
      </c>
      <c r="AF20" s="1" t="str">
        <f>IF(ISBLANK(Prices!AF18),"",Prices!AF18)</f>
        <v/>
      </c>
      <c r="AG20" s="1" t="str">
        <f>IF(ISBLANK(Prices!AG18),"",Prices!AG18)</f>
        <v/>
      </c>
      <c r="AH20" s="1" t="str">
        <f>IF(ISBLANK(Prices!AH18),"",Prices!AH18)</f>
        <v/>
      </c>
      <c r="AI20" s="1" t="str">
        <f>IF(ISBLANK(Prices!AI18),"",Prices!AI18)</f>
        <v/>
      </c>
      <c r="AJ20" s="1" t="str">
        <f>IF(ISBLANK(Prices!AJ18),"",Prices!AJ18)</f>
        <v/>
      </c>
      <c r="AK20" s="1" t="str">
        <f>IF(ISBLANK(Prices!AK18),"",Prices!AK18)</f>
        <v/>
      </c>
      <c r="AL20" s="1" t="str">
        <f>IF(ISBLANK(Prices!AL18),"",Prices!AL18)</f>
        <v/>
      </c>
      <c r="AM20" s="1" t="str">
        <f>IF(ISBLANK(Prices!AM18),"",Prices!AM18)</f>
        <v/>
      </c>
      <c r="AN20" s="1" t="str">
        <f>IF(ISBLANK(Prices!AN18),"",Prices!AN18)</f>
        <v/>
      </c>
      <c r="AO20" s="1" t="str">
        <f>IF(ISBLANK(Prices!AO18),"",Prices!AO18)</f>
        <v/>
      </c>
      <c r="AP20" s="1" t="str">
        <f>IF(ISBLANK(Prices!AP18),"",Prices!AP18)</f>
        <v/>
      </c>
      <c r="AQ20" s="1" t="str">
        <f>IF(ISBLANK(Prices!AQ18),"",Prices!AQ18)</f>
        <v/>
      </c>
      <c r="AR20" s="1" t="str">
        <f>IF(ISBLANK(Prices!AR18),"",Prices!AR18)</f>
        <v/>
      </c>
      <c r="AS20" s="1" t="str">
        <f>IF(ISBLANK(Prices!AS18),"",Prices!AS18)</f>
        <v/>
      </c>
      <c r="AT20" s="1" t="str">
        <f>IF(ISBLANK(Prices!AT18),"",Prices!AT18)</f>
        <v/>
      </c>
      <c r="AU20" s="1" t="str">
        <f>IF(ISBLANK(Prices!AU18),"",Prices!AU18)</f>
        <v/>
      </c>
      <c r="AV20" s="1" t="str">
        <f>IF(ISBLANK(Prices!AV18),"",Prices!AV18)</f>
        <v/>
      </c>
      <c r="AW20" s="1" t="str">
        <f>IF(ISBLANK(Prices!AW18),"",Prices!AW18)</f>
        <v/>
      </c>
      <c r="AX20" s="1" t="str">
        <f>IF(ISBLANK(Prices!AX18),"",Prices!AX18)</f>
        <v/>
      </c>
      <c r="AY20" s="1" t="str">
        <f>IF(ISBLANK(Prices!AY18),"",Prices!AY18)</f>
        <v/>
      </c>
      <c r="AZ20" s="1" t="str">
        <f>IF(ISBLANK(Prices!AZ18),"",Prices!AZ18)</f>
        <v/>
      </c>
      <c r="BA20" s="1" t="str">
        <f>IF(ISBLANK(Prices!BA18),"",Prices!BA18)</f>
        <v/>
      </c>
      <c r="BB20" s="1" t="str">
        <f>IF(ISBLANK(Prices!BB18),"",Prices!BB18)</f>
        <v/>
      </c>
      <c r="BC20" s="1" t="str">
        <f>IF(ISBLANK(Prices!BC18),"",Prices!BC18)</f>
        <v/>
      </c>
      <c r="BD20" s="1" t="str">
        <f>IF(ISBLANK(Prices!BD18),"",Prices!BD18)</f>
        <v/>
      </c>
      <c r="BE20" s="1" t="str">
        <f>IF(ISBLANK(Prices!BE18),"",Prices!BE18)</f>
        <v/>
      </c>
      <c r="BF20" s="1" t="str">
        <f>IF(ISBLANK(Prices!BF18),"",Prices!BF18)</f>
        <v/>
      </c>
      <c r="BG20" s="1" t="str">
        <f>IF(ISBLANK(Prices!BG18),"",Prices!BG18)</f>
        <v/>
      </c>
      <c r="BH20" s="1" t="str">
        <f>IF(ISBLANK(Prices!BH18),"",Prices!BH18)</f>
        <v/>
      </c>
      <c r="BI20" s="1" t="str">
        <f>IF(ISBLANK(Prices!BI18),"",Prices!BI18)</f>
        <v/>
      </c>
      <c r="BJ20" s="1" t="str">
        <f>IF(ISBLANK(Prices!BJ18),"",Prices!BJ18)</f>
        <v/>
      </c>
      <c r="BK20" s="1" t="str">
        <f>IF(ISBLANK(Prices!BK18),"",Prices!BK18)</f>
        <v/>
      </c>
      <c r="BL20" s="1" t="str">
        <f>IF(ISBLANK(Prices!BL18),"",Prices!BL18)</f>
        <v/>
      </c>
      <c r="BM20" s="1" t="str">
        <f>IF(ISBLANK(Prices!BM18),"",Prices!BM18)</f>
        <v/>
      </c>
      <c r="BN20" s="1" t="str">
        <f>IF(ISBLANK(Prices!BN18),"",Prices!BN18)</f>
        <v/>
      </c>
      <c r="BO20" s="1" t="str">
        <f>IF(ISBLANK(Prices!BO18),"",Prices!BO18)</f>
        <v/>
      </c>
      <c r="BP20" s="1" t="str">
        <f>IF(ISBLANK(Prices!BP18),"",Prices!BP18)</f>
        <v/>
      </c>
      <c r="BQ20" s="1" t="str">
        <f>IF(ISBLANK(Prices!BQ18),"",Prices!BQ18)</f>
        <v/>
      </c>
      <c r="BR20" s="1" t="str">
        <f>IF(ISBLANK(Prices!BR18),"",Prices!BR18)</f>
        <v/>
      </c>
      <c r="BS20" s="1" t="str">
        <f>IF(ISBLANK(Prices!BS18),"",Prices!BS18)</f>
        <v/>
      </c>
      <c r="BT20" s="1" t="str">
        <f>IF(ISBLANK(Prices!BT18),"",Prices!BT18)</f>
        <v/>
      </c>
      <c r="BU20" s="1" t="str">
        <f>IF(ISBLANK(Prices!BU18),"",Prices!BU18)</f>
        <v/>
      </c>
      <c r="BV20" s="1" t="str">
        <f>IF(ISBLANK(Prices!BV18),"",Prices!BV18)</f>
        <v/>
      </c>
      <c r="BW20" s="1" t="str">
        <f>IF(ISBLANK(Prices!BW18),"",Prices!BW18)</f>
        <v/>
      </c>
      <c r="BX20" s="1" t="str">
        <f>IF(ISBLANK(Prices!BX18),"",Prices!BX18)</f>
        <v/>
      </c>
      <c r="BY20" s="1" t="str">
        <f>IF(ISBLANK(Prices!BY18),"",Prices!BY18)</f>
        <v/>
      </c>
      <c r="BZ20" s="1" t="str">
        <f>IF(ISBLANK(Prices!BZ18),"",Prices!BZ18)</f>
        <v/>
      </c>
      <c r="CA20" s="1" t="str">
        <f>IF(ISBLANK(Prices!CA18),"",Prices!CA18)</f>
        <v/>
      </c>
      <c r="CB20" s="1" t="str">
        <f>IF(ISBLANK(Prices!CB18),"",Prices!CB18)</f>
        <v/>
      </c>
      <c r="CC20" s="1" t="str">
        <f>IF(ISBLANK(Prices!CC18),"",Prices!CC18)</f>
        <v/>
      </c>
      <c r="CD20" s="1" t="str">
        <f>IF(ISBLANK(Prices!CD18),"",Prices!CD18)</f>
        <v/>
      </c>
      <c r="CE20" s="1" t="str">
        <f>IF(ISBLANK(Prices!CE18),"",Prices!CE18)</f>
        <v/>
      </c>
      <c r="CF20" s="1" t="str">
        <f>IF(ISBLANK(Prices!CF18),"",Prices!CF18)</f>
        <v/>
      </c>
      <c r="CG20" s="1" t="str">
        <f>IF(ISBLANK(Prices!CG18),"",Prices!CG18)</f>
        <v/>
      </c>
      <c r="CH20" s="1" t="str">
        <f>IF(ISBLANK(Prices!CH18),"",Prices!CH18)</f>
        <v/>
      </c>
      <c r="CI20" s="1" t="str">
        <f>IF(ISBLANK(Prices!CI18),"",Prices!CI18)</f>
        <v/>
      </c>
      <c r="CJ20" s="1" t="str">
        <f>IF(ISBLANK(Prices!CJ18),"",Prices!CJ18)</f>
        <v/>
      </c>
      <c r="CK20" s="1" t="str">
        <f>IF(ISBLANK(Prices!CK18),"",Prices!CK18)</f>
        <v/>
      </c>
      <c r="CL20" s="1" t="str">
        <f>IF(ISBLANK(Prices!CL18),"",Prices!CL18)</f>
        <v/>
      </c>
      <c r="CM20" s="1" t="str">
        <f>IF(ISBLANK(Prices!CM18),"",Prices!CM18)</f>
        <v/>
      </c>
      <c r="CN20" s="1" t="str">
        <f>IF(ISBLANK(Prices!CN18),"",Prices!CN18)</f>
        <v/>
      </c>
    </row>
    <row r="21" spans="2:92" x14ac:dyDescent="0.25">
      <c r="B21" s="1" t="str">
        <f>IF(ISBLANK(Prices!A19),"",Prices!A19)</f>
        <v/>
      </c>
      <c r="C21" s="1" t="str">
        <f>IF(ISBLANK(Prices!C19),"",Prices!C19)</f>
        <v/>
      </c>
      <c r="D21" s="1" t="str">
        <f>IF(ISBLANK(Prices!D19),"",Prices!D19)</f>
        <v/>
      </c>
      <c r="E21" s="1" t="str">
        <f>IF(ISBLANK(Prices!E19),"",Prices!E19)</f>
        <v/>
      </c>
      <c r="F21" s="1" t="str">
        <f>IF(ISBLANK(Prices!F19),"",Prices!F19)</f>
        <v/>
      </c>
      <c r="G21" s="1" t="str">
        <f>IF(ISBLANK(Prices!G19),"",Prices!G19)</f>
        <v/>
      </c>
      <c r="H21" s="1" t="str">
        <f>IF(ISBLANK(Prices!H19),"",Prices!H19)</f>
        <v/>
      </c>
      <c r="I21" s="1" t="str">
        <f>IF(ISBLANK(Prices!I19),"",Prices!I19)</f>
        <v/>
      </c>
      <c r="J21" s="1" t="str">
        <f>IF(ISBLANK(Prices!J19),"",Prices!J19)</f>
        <v/>
      </c>
      <c r="K21" s="1" t="str">
        <f>IF(ISBLANK(Prices!K19),"",Prices!K19)</f>
        <v/>
      </c>
      <c r="L21" s="1" t="str">
        <f>IF(ISBLANK(Prices!L19),"",Prices!L19)</f>
        <v/>
      </c>
      <c r="M21" s="1" t="str">
        <f>IF(ISBLANK(Prices!M19),"",Prices!M19)</f>
        <v/>
      </c>
      <c r="N21" s="1" t="str">
        <f>IF(ISBLANK(Prices!N19),"",Prices!N19)</f>
        <v/>
      </c>
      <c r="O21" s="1" t="str">
        <f>IF(ISBLANK(Prices!O19),"",Prices!O19)</f>
        <v/>
      </c>
      <c r="P21" s="1" t="str">
        <f>IF(ISBLANK(Prices!P19),"",Prices!P19)</f>
        <v/>
      </c>
      <c r="Q21" s="1" t="str">
        <f>IF(ISBLANK(Prices!Q19),"",Prices!Q19)</f>
        <v/>
      </c>
      <c r="R21" s="1" t="str">
        <f>IF(ISBLANK(Prices!R19),"",Prices!R19)</f>
        <v/>
      </c>
      <c r="S21" s="1" t="str">
        <f>IF(ISBLANK(Prices!S19),"",Prices!S19)</f>
        <v/>
      </c>
      <c r="T21" s="1" t="str">
        <f>IF(ISBLANK(Prices!T19),"",Prices!T19)</f>
        <v/>
      </c>
      <c r="U21" s="1" t="str">
        <f>IF(ISBLANK(Prices!U19),"",Prices!U19)</f>
        <v/>
      </c>
      <c r="V21" s="1" t="str">
        <f>IF(ISBLANK(Prices!V19),"",Prices!V19)</f>
        <v/>
      </c>
      <c r="W21" s="1" t="str">
        <f>IF(ISBLANK(Prices!W19),"",Prices!W19)</f>
        <v/>
      </c>
      <c r="X21" s="1" t="str">
        <f>IF(ISBLANK(Prices!X19),"",Prices!X19)</f>
        <v/>
      </c>
      <c r="Y21" s="1" t="str">
        <f>IF(ISBLANK(Prices!Y19),"",Prices!Y19)</f>
        <v/>
      </c>
      <c r="Z21" s="1" t="str">
        <f>IF(ISBLANK(Prices!Z19),"",Prices!Z19)</f>
        <v/>
      </c>
      <c r="AA21" s="1" t="str">
        <f>IF(ISBLANK(Prices!AA19),"",Prices!AA19)</f>
        <v/>
      </c>
      <c r="AB21" s="1" t="str">
        <f>IF(ISBLANK(Prices!AB19),"",Prices!AB19)</f>
        <v/>
      </c>
      <c r="AC21" s="1" t="str">
        <f>IF(ISBLANK(Prices!AC19),"",Prices!AC19)</f>
        <v/>
      </c>
      <c r="AD21" s="1" t="str">
        <f>IF(ISBLANK(Prices!AD19),"",Prices!AD19)</f>
        <v/>
      </c>
      <c r="AE21" s="1" t="str">
        <f>IF(ISBLANK(Prices!AE19),"",Prices!AE19)</f>
        <v/>
      </c>
      <c r="AF21" s="1" t="str">
        <f>IF(ISBLANK(Prices!AF19),"",Prices!AF19)</f>
        <v/>
      </c>
      <c r="AG21" s="1" t="str">
        <f>IF(ISBLANK(Prices!AG19),"",Prices!AG19)</f>
        <v/>
      </c>
      <c r="AH21" s="1" t="str">
        <f>IF(ISBLANK(Prices!AH19),"",Prices!AH19)</f>
        <v/>
      </c>
      <c r="AI21" s="1" t="str">
        <f>IF(ISBLANK(Prices!AI19),"",Prices!AI19)</f>
        <v/>
      </c>
      <c r="AJ21" s="1" t="str">
        <f>IF(ISBLANK(Prices!AJ19),"",Prices!AJ19)</f>
        <v/>
      </c>
      <c r="AK21" s="1" t="str">
        <f>IF(ISBLANK(Prices!AK19),"",Prices!AK19)</f>
        <v/>
      </c>
      <c r="AL21" s="1" t="str">
        <f>IF(ISBLANK(Prices!AL19),"",Prices!AL19)</f>
        <v/>
      </c>
      <c r="AM21" s="1" t="str">
        <f>IF(ISBLANK(Prices!AM19),"",Prices!AM19)</f>
        <v/>
      </c>
      <c r="AN21" s="1" t="str">
        <f>IF(ISBLANK(Prices!AN19),"",Prices!AN19)</f>
        <v/>
      </c>
      <c r="AO21" s="1" t="str">
        <f>IF(ISBLANK(Prices!AO19),"",Prices!AO19)</f>
        <v/>
      </c>
      <c r="AP21" s="1" t="str">
        <f>IF(ISBLANK(Prices!AP19),"",Prices!AP19)</f>
        <v/>
      </c>
      <c r="AQ21" s="1" t="str">
        <f>IF(ISBLANK(Prices!AQ19),"",Prices!AQ19)</f>
        <v/>
      </c>
      <c r="AR21" s="1" t="str">
        <f>IF(ISBLANK(Prices!AR19),"",Prices!AR19)</f>
        <v/>
      </c>
      <c r="AS21" s="1" t="str">
        <f>IF(ISBLANK(Prices!AS19),"",Prices!AS19)</f>
        <v/>
      </c>
      <c r="AT21" s="1" t="str">
        <f>IF(ISBLANK(Prices!AT19),"",Prices!AT19)</f>
        <v/>
      </c>
      <c r="AU21" s="1" t="str">
        <f>IF(ISBLANK(Prices!AU19),"",Prices!AU19)</f>
        <v/>
      </c>
      <c r="AV21" s="1" t="str">
        <f>IF(ISBLANK(Prices!AV19),"",Prices!AV19)</f>
        <v/>
      </c>
      <c r="AW21" s="1" t="str">
        <f>IF(ISBLANK(Prices!AW19),"",Prices!AW19)</f>
        <v/>
      </c>
      <c r="AX21" s="1" t="str">
        <f>IF(ISBLANK(Prices!AX19),"",Prices!AX19)</f>
        <v/>
      </c>
      <c r="AY21" s="1" t="str">
        <f>IF(ISBLANK(Prices!AY19),"",Prices!AY19)</f>
        <v/>
      </c>
      <c r="AZ21" s="1" t="str">
        <f>IF(ISBLANK(Prices!AZ19),"",Prices!AZ19)</f>
        <v/>
      </c>
      <c r="BA21" s="1" t="str">
        <f>IF(ISBLANK(Prices!BA19),"",Prices!BA19)</f>
        <v/>
      </c>
      <c r="BB21" s="1" t="str">
        <f>IF(ISBLANK(Prices!BB19),"",Prices!BB19)</f>
        <v/>
      </c>
      <c r="BC21" s="1" t="str">
        <f>IF(ISBLANK(Prices!BC19),"",Prices!BC19)</f>
        <v/>
      </c>
      <c r="BD21" s="1" t="str">
        <f>IF(ISBLANK(Prices!BD19),"",Prices!BD19)</f>
        <v/>
      </c>
      <c r="BE21" s="1" t="str">
        <f>IF(ISBLANK(Prices!BE19),"",Prices!BE19)</f>
        <v/>
      </c>
      <c r="BF21" s="1" t="str">
        <f>IF(ISBLANK(Prices!BF19),"",Prices!BF19)</f>
        <v/>
      </c>
      <c r="BG21" s="1" t="str">
        <f>IF(ISBLANK(Prices!BG19),"",Prices!BG19)</f>
        <v/>
      </c>
      <c r="BH21" s="1" t="str">
        <f>IF(ISBLANK(Prices!BH19),"",Prices!BH19)</f>
        <v/>
      </c>
      <c r="BI21" s="1" t="str">
        <f>IF(ISBLANK(Prices!BI19),"",Prices!BI19)</f>
        <v/>
      </c>
      <c r="BJ21" s="1" t="str">
        <f>IF(ISBLANK(Prices!BJ19),"",Prices!BJ19)</f>
        <v/>
      </c>
      <c r="BK21" s="1" t="str">
        <f>IF(ISBLANK(Prices!BK19),"",Prices!BK19)</f>
        <v/>
      </c>
      <c r="BL21" s="1" t="str">
        <f>IF(ISBLANK(Prices!BL19),"",Prices!BL19)</f>
        <v/>
      </c>
      <c r="BM21" s="1" t="str">
        <f>IF(ISBLANK(Prices!BM19),"",Prices!BM19)</f>
        <v/>
      </c>
      <c r="BN21" s="1" t="str">
        <f>IF(ISBLANK(Prices!BN19),"",Prices!BN19)</f>
        <v/>
      </c>
      <c r="BO21" s="1" t="str">
        <f>IF(ISBLANK(Prices!BO19),"",Prices!BO19)</f>
        <v/>
      </c>
      <c r="BP21" s="1" t="str">
        <f>IF(ISBLANK(Prices!BP19),"",Prices!BP19)</f>
        <v/>
      </c>
      <c r="BQ21" s="1" t="str">
        <f>IF(ISBLANK(Prices!BQ19),"",Prices!BQ19)</f>
        <v/>
      </c>
      <c r="BR21" s="1" t="str">
        <f>IF(ISBLANK(Prices!BR19),"",Prices!BR19)</f>
        <v/>
      </c>
      <c r="BS21" s="1" t="str">
        <f>IF(ISBLANK(Prices!BS19),"",Prices!BS19)</f>
        <v/>
      </c>
      <c r="BT21" s="1" t="str">
        <f>IF(ISBLANK(Prices!BT19),"",Prices!BT19)</f>
        <v/>
      </c>
      <c r="BU21" s="1" t="str">
        <f>IF(ISBLANK(Prices!BU19),"",Prices!BU19)</f>
        <v/>
      </c>
      <c r="BV21" s="1" t="str">
        <f>IF(ISBLANK(Prices!BV19),"",Prices!BV19)</f>
        <v/>
      </c>
      <c r="BW21" s="1" t="str">
        <f>IF(ISBLANK(Prices!BW19),"",Prices!BW19)</f>
        <v/>
      </c>
      <c r="BX21" s="1" t="str">
        <f>IF(ISBLANK(Prices!BX19),"",Prices!BX19)</f>
        <v/>
      </c>
      <c r="BY21" s="1" t="str">
        <f>IF(ISBLANK(Prices!BY19),"",Prices!BY19)</f>
        <v/>
      </c>
      <c r="BZ21" s="1" t="str">
        <f>IF(ISBLANK(Prices!BZ19),"",Prices!BZ19)</f>
        <v/>
      </c>
      <c r="CA21" s="1" t="str">
        <f>IF(ISBLANK(Prices!CA19),"",Prices!CA19)</f>
        <v/>
      </c>
      <c r="CB21" s="1" t="str">
        <f>IF(ISBLANK(Prices!CB19),"",Prices!CB19)</f>
        <v/>
      </c>
      <c r="CC21" s="1" t="str">
        <f>IF(ISBLANK(Prices!CC19),"",Prices!CC19)</f>
        <v/>
      </c>
      <c r="CD21" s="1" t="str">
        <f>IF(ISBLANK(Prices!CD19),"",Prices!CD19)</f>
        <v/>
      </c>
      <c r="CE21" s="1" t="str">
        <f>IF(ISBLANK(Prices!CE19),"",Prices!CE19)</f>
        <v/>
      </c>
      <c r="CF21" s="1" t="str">
        <f>IF(ISBLANK(Prices!CF19),"",Prices!CF19)</f>
        <v/>
      </c>
      <c r="CG21" s="1" t="str">
        <f>IF(ISBLANK(Prices!CG19),"",Prices!CG19)</f>
        <v/>
      </c>
      <c r="CH21" s="1" t="str">
        <f>IF(ISBLANK(Prices!CH19),"",Prices!CH19)</f>
        <v/>
      </c>
      <c r="CI21" s="1" t="str">
        <f>IF(ISBLANK(Prices!CI19),"",Prices!CI19)</f>
        <v/>
      </c>
      <c r="CJ21" s="1" t="str">
        <f>IF(ISBLANK(Prices!CJ19),"",Prices!CJ19)</f>
        <v/>
      </c>
      <c r="CK21" s="1" t="str">
        <f>IF(ISBLANK(Prices!CK19),"",Prices!CK19)</f>
        <v/>
      </c>
      <c r="CL21" s="1" t="str">
        <f>IF(ISBLANK(Prices!CL19),"",Prices!CL19)</f>
        <v/>
      </c>
      <c r="CM21" s="1" t="str">
        <f>IF(ISBLANK(Prices!CM19),"",Prices!CM19)</f>
        <v/>
      </c>
      <c r="CN21" s="1" t="str">
        <f>IF(ISBLANK(Prices!CN19),"",Prices!CN19)</f>
        <v/>
      </c>
    </row>
    <row r="22" spans="2:92" x14ac:dyDescent="0.25">
      <c r="B22" s="1" t="str">
        <f>IF(ISBLANK(Prices!A20),"",Prices!A20)</f>
        <v/>
      </c>
      <c r="C22" s="1" t="str">
        <f>IF(ISBLANK(Prices!C20),"",Prices!C20)</f>
        <v/>
      </c>
      <c r="D22" s="1" t="str">
        <f>IF(ISBLANK(Prices!D20),"",Prices!D20)</f>
        <v/>
      </c>
      <c r="E22" s="1" t="str">
        <f>IF(ISBLANK(Prices!E20),"",Prices!E20)</f>
        <v/>
      </c>
      <c r="F22" s="1" t="str">
        <f>IF(ISBLANK(Prices!F20),"",Prices!F20)</f>
        <v/>
      </c>
      <c r="G22" s="1" t="str">
        <f>IF(ISBLANK(Prices!G20),"",Prices!G20)</f>
        <v/>
      </c>
      <c r="H22" s="1" t="str">
        <f>IF(ISBLANK(Prices!H20),"",Prices!H20)</f>
        <v/>
      </c>
      <c r="I22" s="1" t="str">
        <f>IF(ISBLANK(Prices!I20),"",Prices!I20)</f>
        <v/>
      </c>
      <c r="J22" s="1" t="str">
        <f>IF(ISBLANK(Prices!J20),"",Prices!J20)</f>
        <v/>
      </c>
      <c r="K22" s="1" t="str">
        <f>IF(ISBLANK(Prices!K20),"",Prices!K20)</f>
        <v/>
      </c>
      <c r="L22" s="1" t="str">
        <f>IF(ISBLANK(Prices!L20),"",Prices!L20)</f>
        <v/>
      </c>
      <c r="M22" s="1" t="str">
        <f>IF(ISBLANK(Prices!M20),"",Prices!M20)</f>
        <v/>
      </c>
      <c r="N22" s="1" t="str">
        <f>IF(ISBLANK(Prices!N20),"",Prices!N20)</f>
        <v/>
      </c>
      <c r="O22" s="1" t="str">
        <f>IF(ISBLANK(Prices!O20),"",Prices!O20)</f>
        <v/>
      </c>
      <c r="P22" s="1" t="str">
        <f>IF(ISBLANK(Prices!P20),"",Prices!P20)</f>
        <v/>
      </c>
      <c r="Q22" s="1" t="str">
        <f>IF(ISBLANK(Prices!Q20),"",Prices!Q20)</f>
        <v/>
      </c>
      <c r="R22" s="1" t="str">
        <f>IF(ISBLANK(Prices!R20),"",Prices!R20)</f>
        <v/>
      </c>
      <c r="S22" s="1" t="str">
        <f>IF(ISBLANK(Prices!S20),"",Prices!S20)</f>
        <v/>
      </c>
      <c r="T22" s="1" t="str">
        <f>IF(ISBLANK(Prices!T20),"",Prices!T20)</f>
        <v/>
      </c>
      <c r="U22" s="1" t="str">
        <f>IF(ISBLANK(Prices!U20),"",Prices!U20)</f>
        <v/>
      </c>
      <c r="V22" s="1" t="str">
        <f>IF(ISBLANK(Prices!V20),"",Prices!V20)</f>
        <v/>
      </c>
      <c r="W22" s="1" t="str">
        <f>IF(ISBLANK(Prices!W20),"",Prices!W20)</f>
        <v/>
      </c>
      <c r="X22" s="1" t="str">
        <f>IF(ISBLANK(Prices!X20),"",Prices!X20)</f>
        <v/>
      </c>
      <c r="Y22" s="1" t="str">
        <f>IF(ISBLANK(Prices!Y20),"",Prices!Y20)</f>
        <v/>
      </c>
      <c r="Z22" s="1" t="str">
        <f>IF(ISBLANK(Prices!Z20),"",Prices!Z20)</f>
        <v/>
      </c>
      <c r="AA22" s="1" t="str">
        <f>IF(ISBLANK(Prices!AA20),"",Prices!AA20)</f>
        <v/>
      </c>
      <c r="AB22" s="1" t="str">
        <f>IF(ISBLANK(Prices!AB20),"",Prices!AB20)</f>
        <v/>
      </c>
      <c r="AC22" s="1" t="str">
        <f>IF(ISBLANK(Prices!AC20),"",Prices!AC20)</f>
        <v/>
      </c>
      <c r="AD22" s="1" t="str">
        <f>IF(ISBLANK(Prices!AD20),"",Prices!AD20)</f>
        <v/>
      </c>
      <c r="AE22" s="1" t="str">
        <f>IF(ISBLANK(Prices!AE20),"",Prices!AE20)</f>
        <v/>
      </c>
      <c r="AF22" s="1" t="str">
        <f>IF(ISBLANK(Prices!AF20),"",Prices!AF20)</f>
        <v/>
      </c>
      <c r="AG22" s="1" t="str">
        <f>IF(ISBLANK(Prices!AG20),"",Prices!AG20)</f>
        <v/>
      </c>
      <c r="AH22" s="1" t="str">
        <f>IF(ISBLANK(Prices!AH20),"",Prices!AH20)</f>
        <v/>
      </c>
      <c r="AI22" s="1" t="str">
        <f>IF(ISBLANK(Prices!AI20),"",Prices!AI20)</f>
        <v/>
      </c>
      <c r="AJ22" s="1" t="str">
        <f>IF(ISBLANK(Prices!AJ20),"",Prices!AJ20)</f>
        <v/>
      </c>
      <c r="AK22" s="1" t="str">
        <f>IF(ISBLANK(Prices!AK20),"",Prices!AK20)</f>
        <v/>
      </c>
      <c r="AL22" s="1" t="str">
        <f>IF(ISBLANK(Prices!AL20),"",Prices!AL20)</f>
        <v/>
      </c>
      <c r="AM22" s="1" t="str">
        <f>IF(ISBLANK(Prices!AM20),"",Prices!AM20)</f>
        <v/>
      </c>
      <c r="AN22" s="1" t="str">
        <f>IF(ISBLANK(Prices!AN20),"",Prices!AN20)</f>
        <v/>
      </c>
      <c r="AO22" s="1" t="str">
        <f>IF(ISBLANK(Prices!AO20),"",Prices!AO20)</f>
        <v/>
      </c>
      <c r="AP22" s="1" t="str">
        <f>IF(ISBLANK(Prices!AP20),"",Prices!AP20)</f>
        <v/>
      </c>
      <c r="AQ22" s="1" t="str">
        <f>IF(ISBLANK(Prices!AQ20),"",Prices!AQ20)</f>
        <v/>
      </c>
      <c r="AR22" s="1" t="str">
        <f>IF(ISBLANK(Prices!AR20),"",Prices!AR20)</f>
        <v/>
      </c>
      <c r="AS22" s="1" t="str">
        <f>IF(ISBLANK(Prices!AS20),"",Prices!AS20)</f>
        <v/>
      </c>
      <c r="AT22" s="1" t="str">
        <f>IF(ISBLANK(Prices!AT20),"",Prices!AT20)</f>
        <v/>
      </c>
      <c r="AU22" s="1" t="str">
        <f>IF(ISBLANK(Prices!AU20),"",Prices!AU20)</f>
        <v/>
      </c>
      <c r="AV22" s="1" t="str">
        <f>IF(ISBLANK(Prices!AV20),"",Prices!AV20)</f>
        <v/>
      </c>
      <c r="AW22" s="1" t="str">
        <f>IF(ISBLANK(Prices!AW20),"",Prices!AW20)</f>
        <v/>
      </c>
      <c r="AX22" s="1" t="str">
        <f>IF(ISBLANK(Prices!AX20),"",Prices!AX20)</f>
        <v/>
      </c>
      <c r="AY22" s="1" t="str">
        <f>IF(ISBLANK(Prices!AY20),"",Prices!AY20)</f>
        <v/>
      </c>
      <c r="AZ22" s="1" t="str">
        <f>IF(ISBLANK(Prices!AZ20),"",Prices!AZ20)</f>
        <v/>
      </c>
      <c r="BA22" s="1" t="str">
        <f>IF(ISBLANK(Prices!BA20),"",Prices!BA20)</f>
        <v/>
      </c>
      <c r="BB22" s="1" t="str">
        <f>IF(ISBLANK(Prices!BB20),"",Prices!BB20)</f>
        <v/>
      </c>
      <c r="BC22" s="1" t="str">
        <f>IF(ISBLANK(Prices!BC20),"",Prices!BC20)</f>
        <v/>
      </c>
      <c r="BD22" s="1" t="str">
        <f>IF(ISBLANK(Prices!BD20),"",Prices!BD20)</f>
        <v/>
      </c>
      <c r="BE22" s="1" t="str">
        <f>IF(ISBLANK(Prices!BE20),"",Prices!BE20)</f>
        <v/>
      </c>
      <c r="BF22" s="1" t="str">
        <f>IF(ISBLANK(Prices!BF20),"",Prices!BF20)</f>
        <v/>
      </c>
      <c r="BG22" s="1" t="str">
        <f>IF(ISBLANK(Prices!BG20),"",Prices!BG20)</f>
        <v/>
      </c>
      <c r="BH22" s="1" t="str">
        <f>IF(ISBLANK(Prices!BH20),"",Prices!BH20)</f>
        <v/>
      </c>
      <c r="BI22" s="1" t="str">
        <f>IF(ISBLANK(Prices!BI20),"",Prices!BI20)</f>
        <v/>
      </c>
      <c r="BJ22" s="1" t="str">
        <f>IF(ISBLANK(Prices!BJ20),"",Prices!BJ20)</f>
        <v/>
      </c>
      <c r="BK22" s="1" t="str">
        <f>IF(ISBLANK(Prices!BK20),"",Prices!BK20)</f>
        <v/>
      </c>
      <c r="BL22" s="1" t="str">
        <f>IF(ISBLANK(Prices!BL20),"",Prices!BL20)</f>
        <v/>
      </c>
      <c r="BM22" s="1" t="str">
        <f>IF(ISBLANK(Prices!BM20),"",Prices!BM20)</f>
        <v/>
      </c>
      <c r="BN22" s="1" t="str">
        <f>IF(ISBLANK(Prices!BN20),"",Prices!BN20)</f>
        <v/>
      </c>
      <c r="BO22" s="1" t="str">
        <f>IF(ISBLANK(Prices!BO20),"",Prices!BO20)</f>
        <v/>
      </c>
      <c r="BP22" s="1" t="str">
        <f>IF(ISBLANK(Prices!BP20),"",Prices!BP20)</f>
        <v/>
      </c>
      <c r="BQ22" s="1" t="str">
        <f>IF(ISBLANK(Prices!BQ20),"",Prices!BQ20)</f>
        <v/>
      </c>
      <c r="BR22" s="1" t="str">
        <f>IF(ISBLANK(Prices!BR20),"",Prices!BR20)</f>
        <v/>
      </c>
      <c r="BS22" s="1" t="str">
        <f>IF(ISBLANK(Prices!BS20),"",Prices!BS20)</f>
        <v/>
      </c>
      <c r="BT22" s="1" t="str">
        <f>IF(ISBLANK(Prices!BT20),"",Prices!BT20)</f>
        <v/>
      </c>
      <c r="BU22" s="1" t="str">
        <f>IF(ISBLANK(Prices!BU20),"",Prices!BU20)</f>
        <v/>
      </c>
      <c r="BV22" s="1" t="str">
        <f>IF(ISBLANK(Prices!BV20),"",Prices!BV20)</f>
        <v/>
      </c>
      <c r="BW22" s="1" t="str">
        <f>IF(ISBLANK(Prices!BW20),"",Prices!BW20)</f>
        <v/>
      </c>
      <c r="BX22" s="1" t="str">
        <f>IF(ISBLANK(Prices!BX20),"",Prices!BX20)</f>
        <v/>
      </c>
      <c r="BY22" s="1" t="str">
        <f>IF(ISBLANK(Prices!BY20),"",Prices!BY20)</f>
        <v/>
      </c>
      <c r="BZ22" s="1" t="str">
        <f>IF(ISBLANK(Prices!BZ20),"",Prices!BZ20)</f>
        <v/>
      </c>
      <c r="CA22" s="1" t="str">
        <f>IF(ISBLANK(Prices!CA20),"",Prices!CA20)</f>
        <v/>
      </c>
      <c r="CB22" s="1" t="str">
        <f>IF(ISBLANK(Prices!CB20),"",Prices!CB20)</f>
        <v/>
      </c>
      <c r="CC22" s="1" t="str">
        <f>IF(ISBLANK(Prices!CC20),"",Prices!CC20)</f>
        <v/>
      </c>
      <c r="CD22" s="1" t="str">
        <f>IF(ISBLANK(Prices!CD20),"",Prices!CD20)</f>
        <v/>
      </c>
      <c r="CE22" s="1" t="str">
        <f>IF(ISBLANK(Prices!CE20),"",Prices!CE20)</f>
        <v/>
      </c>
      <c r="CF22" s="1" t="str">
        <f>IF(ISBLANK(Prices!CF20),"",Prices!CF20)</f>
        <v/>
      </c>
      <c r="CG22" s="1" t="str">
        <f>IF(ISBLANK(Prices!CG20),"",Prices!CG20)</f>
        <v/>
      </c>
      <c r="CH22" s="1" t="str">
        <f>IF(ISBLANK(Prices!CH20),"",Prices!CH20)</f>
        <v/>
      </c>
      <c r="CI22" s="1" t="str">
        <f>IF(ISBLANK(Prices!CI20),"",Prices!CI20)</f>
        <v/>
      </c>
      <c r="CJ22" s="1" t="str">
        <f>IF(ISBLANK(Prices!CJ20),"",Prices!CJ20)</f>
        <v/>
      </c>
      <c r="CK22" s="1" t="str">
        <f>IF(ISBLANK(Prices!CK20),"",Prices!CK20)</f>
        <v/>
      </c>
      <c r="CL22" s="1" t="str">
        <f>IF(ISBLANK(Prices!CL20),"",Prices!CL20)</f>
        <v/>
      </c>
      <c r="CM22" s="1" t="str">
        <f>IF(ISBLANK(Prices!CM20),"",Prices!CM20)</f>
        <v/>
      </c>
      <c r="CN22" s="1" t="str">
        <f>IF(ISBLANK(Prices!CN20),"",Prices!CN20)</f>
        <v/>
      </c>
    </row>
    <row r="23" spans="2:92" x14ac:dyDescent="0.25">
      <c r="B23" s="1" t="str">
        <f>IF(ISBLANK(Prices!A21),"",Prices!A21)</f>
        <v/>
      </c>
      <c r="C23" s="1" t="str">
        <f>IF(ISBLANK(Prices!C21),"",Prices!C21)</f>
        <v/>
      </c>
      <c r="D23" s="1" t="str">
        <f>IF(ISBLANK(Prices!D21),"",Prices!D21)</f>
        <v/>
      </c>
      <c r="E23" s="1" t="str">
        <f>IF(ISBLANK(Prices!E21),"",Prices!E21)</f>
        <v/>
      </c>
      <c r="F23" s="1" t="str">
        <f>IF(ISBLANK(Prices!F21),"",Prices!F21)</f>
        <v/>
      </c>
      <c r="G23" s="1" t="str">
        <f>IF(ISBLANK(Prices!G21),"",Prices!G21)</f>
        <v/>
      </c>
      <c r="H23" s="1" t="str">
        <f>IF(ISBLANK(Prices!H21),"",Prices!H21)</f>
        <v/>
      </c>
      <c r="I23" s="1" t="str">
        <f>IF(ISBLANK(Prices!I21),"",Prices!I21)</f>
        <v/>
      </c>
      <c r="J23" s="1" t="str">
        <f>IF(ISBLANK(Prices!J21),"",Prices!J21)</f>
        <v/>
      </c>
      <c r="K23" s="1" t="str">
        <f>IF(ISBLANK(Prices!K21),"",Prices!K21)</f>
        <v/>
      </c>
      <c r="L23" s="1" t="str">
        <f>IF(ISBLANK(Prices!L21),"",Prices!L21)</f>
        <v/>
      </c>
      <c r="M23" s="1" t="str">
        <f>IF(ISBLANK(Prices!M21),"",Prices!M21)</f>
        <v/>
      </c>
      <c r="N23" s="1" t="str">
        <f>IF(ISBLANK(Prices!N21),"",Prices!N21)</f>
        <v/>
      </c>
      <c r="O23" s="1" t="str">
        <f>IF(ISBLANK(Prices!O21),"",Prices!O21)</f>
        <v/>
      </c>
      <c r="P23" s="1" t="str">
        <f>IF(ISBLANK(Prices!P21),"",Prices!P21)</f>
        <v/>
      </c>
      <c r="Q23" s="1" t="str">
        <f>IF(ISBLANK(Prices!Q21),"",Prices!Q21)</f>
        <v/>
      </c>
      <c r="R23" s="1" t="str">
        <f>IF(ISBLANK(Prices!R21),"",Prices!R21)</f>
        <v/>
      </c>
      <c r="S23" s="1" t="str">
        <f>IF(ISBLANK(Prices!S21),"",Prices!S21)</f>
        <v/>
      </c>
      <c r="T23" s="1" t="str">
        <f>IF(ISBLANK(Prices!T21),"",Prices!T21)</f>
        <v/>
      </c>
      <c r="U23" s="1" t="str">
        <f>IF(ISBLANK(Prices!U21),"",Prices!U21)</f>
        <v/>
      </c>
      <c r="V23" s="1" t="str">
        <f>IF(ISBLANK(Prices!V21),"",Prices!V21)</f>
        <v/>
      </c>
      <c r="W23" s="1" t="str">
        <f>IF(ISBLANK(Prices!W21),"",Prices!W21)</f>
        <v/>
      </c>
      <c r="X23" s="1" t="str">
        <f>IF(ISBLANK(Prices!X21),"",Prices!X21)</f>
        <v/>
      </c>
      <c r="Y23" s="1" t="str">
        <f>IF(ISBLANK(Prices!Y21),"",Prices!Y21)</f>
        <v/>
      </c>
      <c r="Z23" s="1" t="str">
        <f>IF(ISBLANK(Prices!Z21),"",Prices!Z21)</f>
        <v/>
      </c>
      <c r="AA23" s="1" t="str">
        <f>IF(ISBLANK(Prices!AA21),"",Prices!AA21)</f>
        <v/>
      </c>
      <c r="AB23" s="1" t="str">
        <f>IF(ISBLANK(Prices!AB21),"",Prices!AB21)</f>
        <v/>
      </c>
      <c r="AC23" s="1" t="str">
        <f>IF(ISBLANK(Prices!AC21),"",Prices!AC21)</f>
        <v/>
      </c>
      <c r="AD23" s="1" t="str">
        <f>IF(ISBLANK(Prices!AD21),"",Prices!AD21)</f>
        <v/>
      </c>
      <c r="AE23" s="1" t="str">
        <f>IF(ISBLANK(Prices!AE21),"",Prices!AE21)</f>
        <v/>
      </c>
      <c r="AF23" s="1" t="str">
        <f>IF(ISBLANK(Prices!AF21),"",Prices!AF21)</f>
        <v/>
      </c>
      <c r="AG23" s="1" t="str">
        <f>IF(ISBLANK(Prices!AG21),"",Prices!AG21)</f>
        <v/>
      </c>
      <c r="AH23" s="1" t="str">
        <f>IF(ISBLANK(Prices!AH21),"",Prices!AH21)</f>
        <v/>
      </c>
      <c r="AI23" s="1" t="str">
        <f>IF(ISBLANK(Prices!AI21),"",Prices!AI21)</f>
        <v/>
      </c>
      <c r="AJ23" s="1" t="str">
        <f>IF(ISBLANK(Prices!AJ21),"",Prices!AJ21)</f>
        <v/>
      </c>
      <c r="AK23" s="1" t="str">
        <f>IF(ISBLANK(Prices!AK21),"",Prices!AK21)</f>
        <v/>
      </c>
      <c r="AL23" s="1" t="str">
        <f>IF(ISBLANK(Prices!AL21),"",Prices!AL21)</f>
        <v/>
      </c>
      <c r="AM23" s="1" t="str">
        <f>IF(ISBLANK(Prices!AM21),"",Prices!AM21)</f>
        <v/>
      </c>
      <c r="AN23" s="1" t="str">
        <f>IF(ISBLANK(Prices!AN21),"",Prices!AN21)</f>
        <v/>
      </c>
      <c r="AO23" s="1" t="str">
        <f>IF(ISBLANK(Prices!AO21),"",Prices!AO21)</f>
        <v/>
      </c>
      <c r="AP23" s="1" t="str">
        <f>IF(ISBLANK(Prices!AP21),"",Prices!AP21)</f>
        <v/>
      </c>
      <c r="AQ23" s="1" t="str">
        <f>IF(ISBLANK(Prices!AQ21),"",Prices!AQ21)</f>
        <v/>
      </c>
      <c r="AR23" s="1" t="str">
        <f>IF(ISBLANK(Prices!AR21),"",Prices!AR21)</f>
        <v/>
      </c>
      <c r="AS23" s="1" t="str">
        <f>IF(ISBLANK(Prices!AS21),"",Prices!AS21)</f>
        <v/>
      </c>
      <c r="AT23" s="1" t="str">
        <f>IF(ISBLANK(Prices!AT21),"",Prices!AT21)</f>
        <v/>
      </c>
      <c r="AU23" s="1" t="str">
        <f>IF(ISBLANK(Prices!AU21),"",Prices!AU21)</f>
        <v/>
      </c>
      <c r="AV23" s="1" t="str">
        <f>IF(ISBLANK(Prices!AV21),"",Prices!AV21)</f>
        <v/>
      </c>
      <c r="AW23" s="1" t="str">
        <f>IF(ISBLANK(Prices!AW21),"",Prices!AW21)</f>
        <v/>
      </c>
      <c r="AX23" s="1" t="str">
        <f>IF(ISBLANK(Prices!AX21),"",Prices!AX21)</f>
        <v/>
      </c>
      <c r="AY23" s="1" t="str">
        <f>IF(ISBLANK(Prices!AY21),"",Prices!AY21)</f>
        <v/>
      </c>
      <c r="AZ23" s="1" t="str">
        <f>IF(ISBLANK(Prices!AZ21),"",Prices!AZ21)</f>
        <v/>
      </c>
      <c r="BA23" s="1" t="str">
        <f>IF(ISBLANK(Prices!BA21),"",Prices!BA21)</f>
        <v/>
      </c>
      <c r="BB23" s="1" t="str">
        <f>IF(ISBLANK(Prices!BB21),"",Prices!BB21)</f>
        <v/>
      </c>
      <c r="BC23" s="1" t="str">
        <f>IF(ISBLANK(Prices!BC21),"",Prices!BC21)</f>
        <v/>
      </c>
      <c r="BD23" s="1" t="str">
        <f>IF(ISBLANK(Prices!BD21),"",Prices!BD21)</f>
        <v/>
      </c>
      <c r="BE23" s="1" t="str">
        <f>IF(ISBLANK(Prices!BE21),"",Prices!BE21)</f>
        <v/>
      </c>
      <c r="BF23" s="1" t="str">
        <f>IF(ISBLANK(Prices!BF21),"",Prices!BF21)</f>
        <v/>
      </c>
      <c r="BG23" s="1" t="str">
        <f>IF(ISBLANK(Prices!BG21),"",Prices!BG21)</f>
        <v/>
      </c>
      <c r="BH23" s="1" t="str">
        <f>IF(ISBLANK(Prices!BH21),"",Prices!BH21)</f>
        <v/>
      </c>
      <c r="BI23" s="1" t="str">
        <f>IF(ISBLANK(Prices!BI21),"",Prices!BI21)</f>
        <v/>
      </c>
      <c r="BJ23" s="1" t="str">
        <f>IF(ISBLANK(Prices!BJ21),"",Prices!BJ21)</f>
        <v/>
      </c>
      <c r="BK23" s="1" t="str">
        <f>IF(ISBLANK(Prices!BK21),"",Prices!BK21)</f>
        <v/>
      </c>
      <c r="BL23" s="1" t="str">
        <f>IF(ISBLANK(Prices!BL21),"",Prices!BL21)</f>
        <v/>
      </c>
      <c r="BM23" s="1" t="str">
        <f>IF(ISBLANK(Prices!BM21),"",Prices!BM21)</f>
        <v/>
      </c>
      <c r="BN23" s="1" t="str">
        <f>IF(ISBLANK(Prices!BN21),"",Prices!BN21)</f>
        <v/>
      </c>
      <c r="BO23" s="1" t="str">
        <f>IF(ISBLANK(Prices!BO21),"",Prices!BO21)</f>
        <v/>
      </c>
      <c r="BP23" s="1" t="str">
        <f>IF(ISBLANK(Prices!BP21),"",Prices!BP21)</f>
        <v/>
      </c>
      <c r="BQ23" s="1" t="str">
        <f>IF(ISBLANK(Prices!BQ21),"",Prices!BQ21)</f>
        <v/>
      </c>
      <c r="BR23" s="1" t="str">
        <f>IF(ISBLANK(Prices!BR21),"",Prices!BR21)</f>
        <v/>
      </c>
      <c r="BS23" s="1" t="str">
        <f>IF(ISBLANK(Prices!BS21),"",Prices!BS21)</f>
        <v/>
      </c>
      <c r="BT23" s="1" t="str">
        <f>IF(ISBLANK(Prices!BT21),"",Prices!BT21)</f>
        <v/>
      </c>
      <c r="BU23" s="1" t="str">
        <f>IF(ISBLANK(Prices!BU21),"",Prices!BU21)</f>
        <v/>
      </c>
      <c r="BV23" s="1" t="str">
        <f>IF(ISBLANK(Prices!BV21),"",Prices!BV21)</f>
        <v/>
      </c>
      <c r="BW23" s="1" t="str">
        <f>IF(ISBLANK(Prices!BW21),"",Prices!BW21)</f>
        <v/>
      </c>
      <c r="BX23" s="1" t="str">
        <f>IF(ISBLANK(Prices!BX21),"",Prices!BX21)</f>
        <v/>
      </c>
      <c r="BY23" s="1" t="str">
        <f>IF(ISBLANK(Prices!BY21),"",Prices!BY21)</f>
        <v/>
      </c>
      <c r="BZ23" s="1" t="str">
        <f>IF(ISBLANK(Prices!BZ21),"",Prices!BZ21)</f>
        <v/>
      </c>
      <c r="CA23" s="1" t="str">
        <f>IF(ISBLANK(Prices!CA21),"",Prices!CA21)</f>
        <v/>
      </c>
      <c r="CB23" s="1" t="str">
        <f>IF(ISBLANK(Prices!CB21),"",Prices!CB21)</f>
        <v/>
      </c>
      <c r="CC23" s="1" t="str">
        <f>IF(ISBLANK(Prices!CC21),"",Prices!CC21)</f>
        <v/>
      </c>
      <c r="CD23" s="1" t="str">
        <f>IF(ISBLANK(Prices!CD21),"",Prices!CD21)</f>
        <v/>
      </c>
      <c r="CE23" s="1" t="str">
        <f>IF(ISBLANK(Prices!CE21),"",Prices!CE21)</f>
        <v/>
      </c>
      <c r="CF23" s="1" t="str">
        <f>IF(ISBLANK(Prices!CF21),"",Prices!CF21)</f>
        <v/>
      </c>
      <c r="CG23" s="1" t="str">
        <f>IF(ISBLANK(Prices!CG21),"",Prices!CG21)</f>
        <v/>
      </c>
      <c r="CH23" s="1" t="str">
        <f>IF(ISBLANK(Prices!CH21),"",Prices!CH21)</f>
        <v/>
      </c>
      <c r="CI23" s="1" t="str">
        <f>IF(ISBLANK(Prices!CI21),"",Prices!CI21)</f>
        <v/>
      </c>
      <c r="CJ23" s="1" t="str">
        <f>IF(ISBLANK(Prices!CJ21),"",Prices!CJ21)</f>
        <v/>
      </c>
      <c r="CK23" s="1" t="str">
        <f>IF(ISBLANK(Prices!CK21),"",Prices!CK21)</f>
        <v/>
      </c>
      <c r="CL23" s="1" t="str">
        <f>IF(ISBLANK(Prices!CL21),"",Prices!CL21)</f>
        <v/>
      </c>
      <c r="CM23" s="1" t="str">
        <f>IF(ISBLANK(Prices!CM21),"",Prices!CM21)</f>
        <v/>
      </c>
      <c r="CN23" s="1" t="str">
        <f>IF(ISBLANK(Prices!CN21),"",Prices!CN21)</f>
        <v/>
      </c>
    </row>
    <row r="24" spans="2:92" x14ac:dyDescent="0.25">
      <c r="B24" s="1" t="str">
        <f>IF(ISBLANK(Prices!A22),"",Prices!A22)</f>
        <v/>
      </c>
      <c r="C24" s="1" t="str">
        <f>IF(ISBLANK(Prices!C22),"",Prices!C22)</f>
        <v/>
      </c>
      <c r="D24" s="1" t="str">
        <f>IF(ISBLANK(Prices!D22),"",Prices!D22)</f>
        <v/>
      </c>
      <c r="E24" s="1" t="str">
        <f>IF(ISBLANK(Prices!E22),"",Prices!E22)</f>
        <v/>
      </c>
      <c r="F24" s="1" t="str">
        <f>IF(ISBLANK(Prices!F22),"",Prices!F22)</f>
        <v/>
      </c>
      <c r="G24" s="1" t="str">
        <f>IF(ISBLANK(Prices!G22),"",Prices!G22)</f>
        <v/>
      </c>
      <c r="H24" s="1" t="str">
        <f>IF(ISBLANK(Prices!H22),"",Prices!H22)</f>
        <v/>
      </c>
      <c r="I24" s="1" t="str">
        <f>IF(ISBLANK(Prices!I22),"",Prices!I22)</f>
        <v/>
      </c>
      <c r="J24" s="1" t="str">
        <f>IF(ISBLANK(Prices!J22),"",Prices!J22)</f>
        <v/>
      </c>
      <c r="K24" s="1" t="str">
        <f>IF(ISBLANK(Prices!K22),"",Prices!K22)</f>
        <v/>
      </c>
      <c r="L24" s="1" t="str">
        <f>IF(ISBLANK(Prices!L22),"",Prices!L22)</f>
        <v/>
      </c>
      <c r="M24" s="1" t="str">
        <f>IF(ISBLANK(Prices!M22),"",Prices!M22)</f>
        <v/>
      </c>
      <c r="N24" s="1" t="str">
        <f>IF(ISBLANK(Prices!N22),"",Prices!N22)</f>
        <v/>
      </c>
      <c r="O24" s="1" t="str">
        <f>IF(ISBLANK(Prices!O22),"",Prices!O22)</f>
        <v/>
      </c>
      <c r="P24" s="1" t="str">
        <f>IF(ISBLANK(Prices!P22),"",Prices!P22)</f>
        <v/>
      </c>
      <c r="Q24" s="1" t="str">
        <f>IF(ISBLANK(Prices!Q22),"",Prices!Q22)</f>
        <v/>
      </c>
      <c r="R24" s="1" t="str">
        <f>IF(ISBLANK(Prices!R22),"",Prices!R22)</f>
        <v/>
      </c>
      <c r="S24" s="1" t="str">
        <f>IF(ISBLANK(Prices!S22),"",Prices!S22)</f>
        <v/>
      </c>
      <c r="T24" s="1" t="str">
        <f>IF(ISBLANK(Prices!T22),"",Prices!T22)</f>
        <v/>
      </c>
      <c r="U24" s="1" t="str">
        <f>IF(ISBLANK(Prices!U22),"",Prices!U22)</f>
        <v/>
      </c>
      <c r="V24" s="1" t="str">
        <f>IF(ISBLANK(Prices!V22),"",Prices!V22)</f>
        <v/>
      </c>
      <c r="W24" s="1" t="str">
        <f>IF(ISBLANK(Prices!W22),"",Prices!W22)</f>
        <v/>
      </c>
      <c r="X24" s="1" t="str">
        <f>IF(ISBLANK(Prices!X22),"",Prices!X22)</f>
        <v/>
      </c>
      <c r="Y24" s="1" t="str">
        <f>IF(ISBLANK(Prices!Y22),"",Prices!Y22)</f>
        <v/>
      </c>
      <c r="Z24" s="1" t="str">
        <f>IF(ISBLANK(Prices!Z22),"",Prices!Z22)</f>
        <v/>
      </c>
      <c r="AA24" s="1" t="str">
        <f>IF(ISBLANK(Prices!AA22),"",Prices!AA22)</f>
        <v/>
      </c>
      <c r="AB24" s="1" t="str">
        <f>IF(ISBLANK(Prices!AB22),"",Prices!AB22)</f>
        <v/>
      </c>
      <c r="AC24" s="1" t="str">
        <f>IF(ISBLANK(Prices!AC22),"",Prices!AC22)</f>
        <v/>
      </c>
      <c r="AD24" s="1" t="str">
        <f>IF(ISBLANK(Prices!AD22),"",Prices!AD22)</f>
        <v/>
      </c>
      <c r="AE24" s="1" t="str">
        <f>IF(ISBLANK(Prices!AE22),"",Prices!AE22)</f>
        <v/>
      </c>
      <c r="AF24" s="1" t="str">
        <f>IF(ISBLANK(Prices!AF22),"",Prices!AF22)</f>
        <v/>
      </c>
      <c r="AG24" s="1" t="str">
        <f>IF(ISBLANK(Prices!AG22),"",Prices!AG22)</f>
        <v/>
      </c>
      <c r="AH24" s="1" t="str">
        <f>IF(ISBLANK(Prices!AH22),"",Prices!AH22)</f>
        <v/>
      </c>
      <c r="AI24" s="1" t="str">
        <f>IF(ISBLANK(Prices!AI22),"",Prices!AI22)</f>
        <v/>
      </c>
      <c r="AJ24" s="1" t="str">
        <f>IF(ISBLANK(Prices!AJ22),"",Prices!AJ22)</f>
        <v/>
      </c>
      <c r="AK24" s="1" t="str">
        <f>IF(ISBLANK(Prices!AK22),"",Prices!AK22)</f>
        <v/>
      </c>
      <c r="AL24" s="1" t="str">
        <f>IF(ISBLANK(Prices!AL22),"",Prices!AL22)</f>
        <v/>
      </c>
      <c r="AM24" s="1" t="str">
        <f>IF(ISBLANK(Prices!AM22),"",Prices!AM22)</f>
        <v/>
      </c>
      <c r="AN24" s="1" t="str">
        <f>IF(ISBLANK(Prices!AN22),"",Prices!AN22)</f>
        <v/>
      </c>
      <c r="AO24" s="1" t="str">
        <f>IF(ISBLANK(Prices!AO22),"",Prices!AO22)</f>
        <v/>
      </c>
      <c r="AP24" s="1" t="str">
        <f>IF(ISBLANK(Prices!AP22),"",Prices!AP22)</f>
        <v/>
      </c>
      <c r="AQ24" s="1" t="str">
        <f>IF(ISBLANK(Prices!AQ22),"",Prices!AQ22)</f>
        <v/>
      </c>
      <c r="AR24" s="1" t="str">
        <f>IF(ISBLANK(Prices!AR22),"",Prices!AR22)</f>
        <v/>
      </c>
      <c r="AS24" s="1" t="str">
        <f>IF(ISBLANK(Prices!AS22),"",Prices!AS22)</f>
        <v/>
      </c>
      <c r="AT24" s="1" t="str">
        <f>IF(ISBLANK(Prices!AT22),"",Prices!AT22)</f>
        <v/>
      </c>
      <c r="AU24" s="1" t="str">
        <f>IF(ISBLANK(Prices!AU22),"",Prices!AU22)</f>
        <v/>
      </c>
      <c r="AV24" s="1" t="str">
        <f>IF(ISBLANK(Prices!AV22),"",Prices!AV22)</f>
        <v/>
      </c>
      <c r="AW24" s="1" t="str">
        <f>IF(ISBLANK(Prices!AW22),"",Prices!AW22)</f>
        <v/>
      </c>
      <c r="AX24" s="1" t="str">
        <f>IF(ISBLANK(Prices!AX22),"",Prices!AX22)</f>
        <v/>
      </c>
      <c r="AY24" s="1" t="str">
        <f>IF(ISBLANK(Prices!AY22),"",Prices!AY22)</f>
        <v/>
      </c>
      <c r="AZ24" s="1" t="str">
        <f>IF(ISBLANK(Prices!AZ22),"",Prices!AZ22)</f>
        <v/>
      </c>
      <c r="BA24" s="1" t="str">
        <f>IF(ISBLANK(Prices!BA22),"",Prices!BA22)</f>
        <v/>
      </c>
      <c r="BB24" s="1" t="str">
        <f>IF(ISBLANK(Prices!BB22),"",Prices!BB22)</f>
        <v/>
      </c>
      <c r="BC24" s="1" t="str">
        <f>IF(ISBLANK(Prices!BC22),"",Prices!BC22)</f>
        <v/>
      </c>
      <c r="BD24" s="1" t="str">
        <f>IF(ISBLANK(Prices!BD22),"",Prices!BD22)</f>
        <v/>
      </c>
      <c r="BE24" s="1" t="str">
        <f>IF(ISBLANK(Prices!BE22),"",Prices!BE22)</f>
        <v/>
      </c>
      <c r="BF24" s="1" t="str">
        <f>IF(ISBLANK(Prices!BF22),"",Prices!BF22)</f>
        <v/>
      </c>
      <c r="BG24" s="1" t="str">
        <f>IF(ISBLANK(Prices!BG22),"",Prices!BG22)</f>
        <v/>
      </c>
      <c r="BH24" s="1" t="str">
        <f>IF(ISBLANK(Prices!BH22),"",Prices!BH22)</f>
        <v/>
      </c>
      <c r="BI24" s="1" t="str">
        <f>IF(ISBLANK(Prices!BI22),"",Prices!BI22)</f>
        <v/>
      </c>
      <c r="BJ24" s="1" t="str">
        <f>IF(ISBLANK(Prices!BJ22),"",Prices!BJ22)</f>
        <v/>
      </c>
      <c r="BK24" s="1" t="str">
        <f>IF(ISBLANK(Prices!BK22),"",Prices!BK22)</f>
        <v/>
      </c>
      <c r="BL24" s="1" t="str">
        <f>IF(ISBLANK(Prices!BL22),"",Prices!BL22)</f>
        <v/>
      </c>
      <c r="BM24" s="1" t="str">
        <f>IF(ISBLANK(Prices!BM22),"",Prices!BM22)</f>
        <v/>
      </c>
      <c r="BN24" s="1" t="str">
        <f>IF(ISBLANK(Prices!BN22),"",Prices!BN22)</f>
        <v/>
      </c>
      <c r="BO24" s="1" t="str">
        <f>IF(ISBLANK(Prices!BO22),"",Prices!BO22)</f>
        <v/>
      </c>
      <c r="BP24" s="1" t="str">
        <f>IF(ISBLANK(Prices!BP22),"",Prices!BP22)</f>
        <v/>
      </c>
      <c r="BQ24" s="1" t="str">
        <f>IF(ISBLANK(Prices!BQ22),"",Prices!BQ22)</f>
        <v/>
      </c>
      <c r="BR24" s="1" t="str">
        <f>IF(ISBLANK(Prices!BR22),"",Prices!BR22)</f>
        <v/>
      </c>
      <c r="BS24" s="1" t="str">
        <f>IF(ISBLANK(Prices!BS22),"",Prices!BS22)</f>
        <v/>
      </c>
      <c r="BT24" s="1" t="str">
        <f>IF(ISBLANK(Prices!BT22),"",Prices!BT22)</f>
        <v/>
      </c>
      <c r="BU24" s="1" t="str">
        <f>IF(ISBLANK(Prices!BU22),"",Prices!BU22)</f>
        <v/>
      </c>
      <c r="BV24" s="1" t="str">
        <f>IF(ISBLANK(Prices!BV22),"",Prices!BV22)</f>
        <v/>
      </c>
      <c r="BW24" s="1" t="str">
        <f>IF(ISBLANK(Prices!BW22),"",Prices!BW22)</f>
        <v/>
      </c>
      <c r="BX24" s="1" t="str">
        <f>IF(ISBLANK(Prices!BX22),"",Prices!BX22)</f>
        <v/>
      </c>
      <c r="BY24" s="1" t="str">
        <f>IF(ISBLANK(Prices!BY22),"",Prices!BY22)</f>
        <v/>
      </c>
      <c r="BZ24" s="1" t="str">
        <f>IF(ISBLANK(Prices!BZ22),"",Prices!BZ22)</f>
        <v/>
      </c>
      <c r="CA24" s="1" t="str">
        <f>IF(ISBLANK(Prices!CA22),"",Prices!CA22)</f>
        <v/>
      </c>
      <c r="CB24" s="1" t="str">
        <f>IF(ISBLANK(Prices!CB22),"",Prices!CB22)</f>
        <v/>
      </c>
      <c r="CC24" s="1" t="str">
        <f>IF(ISBLANK(Prices!CC22),"",Prices!CC22)</f>
        <v/>
      </c>
      <c r="CD24" s="1" t="str">
        <f>IF(ISBLANK(Prices!CD22),"",Prices!CD22)</f>
        <v/>
      </c>
      <c r="CE24" s="1" t="str">
        <f>IF(ISBLANK(Prices!CE22),"",Prices!CE22)</f>
        <v/>
      </c>
      <c r="CF24" s="1" t="str">
        <f>IF(ISBLANK(Prices!CF22),"",Prices!CF22)</f>
        <v/>
      </c>
      <c r="CG24" s="1" t="str">
        <f>IF(ISBLANK(Prices!CG22),"",Prices!CG22)</f>
        <v/>
      </c>
      <c r="CH24" s="1" t="str">
        <f>IF(ISBLANK(Prices!CH22),"",Prices!CH22)</f>
        <v/>
      </c>
      <c r="CI24" s="1" t="str">
        <f>IF(ISBLANK(Prices!CI22),"",Prices!CI22)</f>
        <v/>
      </c>
      <c r="CJ24" s="1" t="str">
        <f>IF(ISBLANK(Prices!CJ22),"",Prices!CJ22)</f>
        <v/>
      </c>
      <c r="CK24" s="1" t="str">
        <f>IF(ISBLANK(Prices!CK22),"",Prices!CK22)</f>
        <v/>
      </c>
      <c r="CL24" s="1" t="str">
        <f>IF(ISBLANK(Prices!CL22),"",Prices!CL22)</f>
        <v/>
      </c>
      <c r="CM24" s="1" t="str">
        <f>IF(ISBLANK(Prices!CM22),"",Prices!CM22)</f>
        <v/>
      </c>
      <c r="CN24" s="1" t="str">
        <f>IF(ISBLANK(Prices!CN22),"",Prices!CN22)</f>
        <v/>
      </c>
    </row>
    <row r="25" spans="2:92" x14ac:dyDescent="0.25">
      <c r="B25" s="1" t="str">
        <f>IF(ISBLANK(Prices!A23),"",Prices!A23)</f>
        <v/>
      </c>
      <c r="C25" s="1" t="str">
        <f>IF(ISBLANK(Prices!C23),"",Prices!C23)</f>
        <v/>
      </c>
      <c r="D25" s="1" t="str">
        <f>IF(ISBLANK(Prices!D23),"",Prices!D23)</f>
        <v/>
      </c>
      <c r="E25" s="1" t="str">
        <f>IF(ISBLANK(Prices!E23),"",Prices!E23)</f>
        <v/>
      </c>
      <c r="F25" s="1" t="str">
        <f>IF(ISBLANK(Prices!F23),"",Prices!F23)</f>
        <v/>
      </c>
      <c r="G25" s="1" t="str">
        <f>IF(ISBLANK(Prices!G23),"",Prices!G23)</f>
        <v/>
      </c>
      <c r="H25" s="1" t="str">
        <f>IF(ISBLANK(Prices!H23),"",Prices!H23)</f>
        <v/>
      </c>
      <c r="I25" s="1" t="str">
        <f>IF(ISBLANK(Prices!I23),"",Prices!I23)</f>
        <v/>
      </c>
      <c r="J25" s="1" t="str">
        <f>IF(ISBLANK(Prices!J23),"",Prices!J23)</f>
        <v/>
      </c>
      <c r="K25" s="1" t="str">
        <f>IF(ISBLANK(Prices!K23),"",Prices!K23)</f>
        <v/>
      </c>
      <c r="L25" s="1" t="str">
        <f>IF(ISBLANK(Prices!L23),"",Prices!L23)</f>
        <v/>
      </c>
      <c r="M25" s="1" t="str">
        <f>IF(ISBLANK(Prices!M23),"",Prices!M23)</f>
        <v/>
      </c>
      <c r="N25" s="1" t="str">
        <f>IF(ISBLANK(Prices!N23),"",Prices!N23)</f>
        <v/>
      </c>
      <c r="O25" s="1" t="str">
        <f>IF(ISBLANK(Prices!O23),"",Prices!O23)</f>
        <v/>
      </c>
      <c r="P25" s="1" t="str">
        <f>IF(ISBLANK(Prices!P23),"",Prices!P23)</f>
        <v/>
      </c>
      <c r="Q25" s="1" t="str">
        <f>IF(ISBLANK(Prices!Q23),"",Prices!Q23)</f>
        <v/>
      </c>
      <c r="R25" s="1" t="str">
        <f>IF(ISBLANK(Prices!R23),"",Prices!R23)</f>
        <v/>
      </c>
      <c r="S25" s="1" t="str">
        <f>IF(ISBLANK(Prices!S23),"",Prices!S23)</f>
        <v/>
      </c>
      <c r="T25" s="1" t="str">
        <f>IF(ISBLANK(Prices!T23),"",Prices!T23)</f>
        <v/>
      </c>
      <c r="U25" s="1" t="str">
        <f>IF(ISBLANK(Prices!U23),"",Prices!U23)</f>
        <v/>
      </c>
      <c r="V25" s="1" t="str">
        <f>IF(ISBLANK(Prices!V23),"",Prices!V23)</f>
        <v/>
      </c>
      <c r="W25" s="1" t="str">
        <f>IF(ISBLANK(Prices!W23),"",Prices!W23)</f>
        <v/>
      </c>
      <c r="X25" s="1" t="str">
        <f>IF(ISBLANK(Prices!X23),"",Prices!X23)</f>
        <v/>
      </c>
      <c r="Y25" s="1" t="str">
        <f>IF(ISBLANK(Prices!Y23),"",Prices!Y23)</f>
        <v/>
      </c>
      <c r="Z25" s="1" t="str">
        <f>IF(ISBLANK(Prices!Z23),"",Prices!Z23)</f>
        <v/>
      </c>
      <c r="AA25" s="1" t="str">
        <f>IF(ISBLANK(Prices!AA23),"",Prices!AA23)</f>
        <v/>
      </c>
      <c r="AB25" s="1" t="str">
        <f>IF(ISBLANK(Prices!AB23),"",Prices!AB23)</f>
        <v/>
      </c>
      <c r="AC25" s="1" t="str">
        <f>IF(ISBLANK(Prices!AC23),"",Prices!AC23)</f>
        <v/>
      </c>
      <c r="AD25" s="1" t="str">
        <f>IF(ISBLANK(Prices!AD23),"",Prices!AD23)</f>
        <v/>
      </c>
      <c r="AE25" s="1" t="str">
        <f>IF(ISBLANK(Prices!AE23),"",Prices!AE23)</f>
        <v/>
      </c>
      <c r="AF25" s="1" t="str">
        <f>IF(ISBLANK(Prices!AF23),"",Prices!AF23)</f>
        <v/>
      </c>
      <c r="AG25" s="1" t="str">
        <f>IF(ISBLANK(Prices!AG23),"",Prices!AG23)</f>
        <v/>
      </c>
      <c r="AH25" s="1" t="str">
        <f>IF(ISBLANK(Prices!AH23),"",Prices!AH23)</f>
        <v/>
      </c>
      <c r="AI25" s="1" t="str">
        <f>IF(ISBLANK(Prices!AI23),"",Prices!AI23)</f>
        <v/>
      </c>
      <c r="AJ25" s="1" t="str">
        <f>IF(ISBLANK(Prices!AJ23),"",Prices!AJ23)</f>
        <v/>
      </c>
      <c r="AK25" s="1" t="str">
        <f>IF(ISBLANK(Prices!AK23),"",Prices!AK23)</f>
        <v/>
      </c>
      <c r="AL25" s="1" t="str">
        <f>IF(ISBLANK(Prices!AL23),"",Prices!AL23)</f>
        <v/>
      </c>
      <c r="AM25" s="1" t="str">
        <f>IF(ISBLANK(Prices!AM23),"",Prices!AM23)</f>
        <v/>
      </c>
      <c r="AN25" s="1" t="str">
        <f>IF(ISBLANK(Prices!AN23),"",Prices!AN23)</f>
        <v/>
      </c>
      <c r="AO25" s="1" t="str">
        <f>IF(ISBLANK(Prices!AO23),"",Prices!AO23)</f>
        <v/>
      </c>
      <c r="AP25" s="1" t="str">
        <f>IF(ISBLANK(Prices!AP23),"",Prices!AP23)</f>
        <v/>
      </c>
      <c r="AQ25" s="1" t="str">
        <f>IF(ISBLANK(Prices!AQ23),"",Prices!AQ23)</f>
        <v/>
      </c>
      <c r="AR25" s="1" t="str">
        <f>IF(ISBLANK(Prices!AR23),"",Prices!AR23)</f>
        <v/>
      </c>
      <c r="AS25" s="1" t="str">
        <f>IF(ISBLANK(Prices!AS23),"",Prices!AS23)</f>
        <v/>
      </c>
      <c r="AT25" s="1" t="str">
        <f>IF(ISBLANK(Prices!AT23),"",Prices!AT23)</f>
        <v/>
      </c>
      <c r="AU25" s="1" t="str">
        <f>IF(ISBLANK(Prices!AU23),"",Prices!AU23)</f>
        <v/>
      </c>
      <c r="AV25" s="1" t="str">
        <f>IF(ISBLANK(Prices!AV23),"",Prices!AV23)</f>
        <v/>
      </c>
      <c r="AW25" s="1" t="str">
        <f>IF(ISBLANK(Prices!AW23),"",Prices!AW23)</f>
        <v/>
      </c>
      <c r="AX25" s="1" t="str">
        <f>IF(ISBLANK(Prices!AX23),"",Prices!AX23)</f>
        <v/>
      </c>
      <c r="AY25" s="1" t="str">
        <f>IF(ISBLANK(Prices!AY23),"",Prices!AY23)</f>
        <v/>
      </c>
      <c r="AZ25" s="1" t="str">
        <f>IF(ISBLANK(Prices!AZ23),"",Prices!AZ23)</f>
        <v/>
      </c>
      <c r="BA25" s="1" t="str">
        <f>IF(ISBLANK(Prices!BA23),"",Prices!BA23)</f>
        <v/>
      </c>
      <c r="BB25" s="1" t="str">
        <f>IF(ISBLANK(Prices!BB23),"",Prices!BB23)</f>
        <v/>
      </c>
      <c r="BC25" s="1" t="str">
        <f>IF(ISBLANK(Prices!BC23),"",Prices!BC23)</f>
        <v/>
      </c>
      <c r="BD25" s="1" t="str">
        <f>IF(ISBLANK(Prices!BD23),"",Prices!BD23)</f>
        <v/>
      </c>
      <c r="BE25" s="1" t="str">
        <f>IF(ISBLANK(Prices!BE23),"",Prices!BE23)</f>
        <v/>
      </c>
      <c r="BF25" s="1" t="str">
        <f>IF(ISBLANK(Prices!BF23),"",Prices!BF23)</f>
        <v/>
      </c>
      <c r="BG25" s="1" t="str">
        <f>IF(ISBLANK(Prices!BG23),"",Prices!BG23)</f>
        <v/>
      </c>
      <c r="BH25" s="1" t="str">
        <f>IF(ISBLANK(Prices!BH23),"",Prices!BH23)</f>
        <v/>
      </c>
      <c r="BI25" s="1" t="str">
        <f>IF(ISBLANK(Prices!BI23),"",Prices!BI23)</f>
        <v/>
      </c>
      <c r="BJ25" s="1" t="str">
        <f>IF(ISBLANK(Prices!BJ23),"",Prices!BJ23)</f>
        <v/>
      </c>
      <c r="BK25" s="1" t="str">
        <f>IF(ISBLANK(Prices!BK23),"",Prices!BK23)</f>
        <v/>
      </c>
      <c r="BL25" s="1" t="str">
        <f>IF(ISBLANK(Prices!BL23),"",Prices!BL23)</f>
        <v/>
      </c>
      <c r="BM25" s="1" t="str">
        <f>IF(ISBLANK(Prices!BM23),"",Prices!BM23)</f>
        <v/>
      </c>
      <c r="BN25" s="1" t="str">
        <f>IF(ISBLANK(Prices!BN23),"",Prices!BN23)</f>
        <v/>
      </c>
      <c r="BO25" s="1" t="str">
        <f>IF(ISBLANK(Prices!BO23),"",Prices!BO23)</f>
        <v/>
      </c>
      <c r="BP25" s="1" t="str">
        <f>IF(ISBLANK(Prices!BP23),"",Prices!BP23)</f>
        <v/>
      </c>
      <c r="BQ25" s="1" t="str">
        <f>IF(ISBLANK(Prices!BQ23),"",Prices!BQ23)</f>
        <v/>
      </c>
      <c r="BR25" s="1" t="str">
        <f>IF(ISBLANK(Prices!BR23),"",Prices!BR23)</f>
        <v/>
      </c>
      <c r="BS25" s="1" t="str">
        <f>IF(ISBLANK(Prices!BS23),"",Prices!BS23)</f>
        <v/>
      </c>
      <c r="BT25" s="1" t="str">
        <f>IF(ISBLANK(Prices!BT23),"",Prices!BT23)</f>
        <v/>
      </c>
      <c r="BU25" s="1" t="str">
        <f>IF(ISBLANK(Prices!BU23),"",Prices!BU23)</f>
        <v/>
      </c>
      <c r="BV25" s="1" t="str">
        <f>IF(ISBLANK(Prices!BV23),"",Prices!BV23)</f>
        <v/>
      </c>
      <c r="BW25" s="1" t="str">
        <f>IF(ISBLANK(Prices!BW23),"",Prices!BW23)</f>
        <v/>
      </c>
      <c r="BX25" s="1" t="str">
        <f>IF(ISBLANK(Prices!BX23),"",Prices!BX23)</f>
        <v/>
      </c>
      <c r="BY25" s="1" t="str">
        <f>IF(ISBLANK(Prices!BY23),"",Prices!BY23)</f>
        <v/>
      </c>
      <c r="BZ25" s="1" t="str">
        <f>IF(ISBLANK(Prices!BZ23),"",Prices!BZ23)</f>
        <v/>
      </c>
      <c r="CA25" s="1" t="str">
        <f>IF(ISBLANK(Prices!CA23),"",Prices!CA23)</f>
        <v/>
      </c>
      <c r="CB25" s="1" t="str">
        <f>IF(ISBLANK(Prices!CB23),"",Prices!CB23)</f>
        <v/>
      </c>
      <c r="CC25" s="1" t="str">
        <f>IF(ISBLANK(Prices!CC23),"",Prices!CC23)</f>
        <v/>
      </c>
      <c r="CD25" s="1" t="str">
        <f>IF(ISBLANK(Prices!CD23),"",Prices!CD23)</f>
        <v/>
      </c>
      <c r="CE25" s="1" t="str">
        <f>IF(ISBLANK(Prices!CE23),"",Prices!CE23)</f>
        <v/>
      </c>
      <c r="CF25" s="1" t="str">
        <f>IF(ISBLANK(Prices!CF23),"",Prices!CF23)</f>
        <v/>
      </c>
      <c r="CG25" s="1" t="str">
        <f>IF(ISBLANK(Prices!CG23),"",Prices!CG23)</f>
        <v/>
      </c>
      <c r="CH25" s="1" t="str">
        <f>IF(ISBLANK(Prices!CH23),"",Prices!CH23)</f>
        <v/>
      </c>
      <c r="CI25" s="1" t="str">
        <f>IF(ISBLANK(Prices!CI23),"",Prices!CI23)</f>
        <v/>
      </c>
      <c r="CJ25" s="1" t="str">
        <f>IF(ISBLANK(Prices!CJ23),"",Prices!CJ23)</f>
        <v/>
      </c>
      <c r="CK25" s="1" t="str">
        <f>IF(ISBLANK(Prices!CK23),"",Prices!CK23)</f>
        <v/>
      </c>
      <c r="CL25" s="1" t="str">
        <f>IF(ISBLANK(Prices!CL23),"",Prices!CL23)</f>
        <v/>
      </c>
      <c r="CM25" s="1" t="str">
        <f>IF(ISBLANK(Prices!CM23),"",Prices!CM23)</f>
        <v/>
      </c>
      <c r="CN25" s="1" t="str">
        <f>IF(ISBLANK(Prices!CN23),"",Prices!CN23)</f>
        <v/>
      </c>
    </row>
    <row r="26" spans="2:92" x14ac:dyDescent="0.25">
      <c r="B26" s="1" t="str">
        <f>IF(ISBLANK(Prices!A24),"",Prices!A24)</f>
        <v/>
      </c>
      <c r="C26" s="1" t="str">
        <f>IF(ISBLANK(Prices!C24),"",Prices!C24)</f>
        <v/>
      </c>
      <c r="D26" s="1" t="str">
        <f>IF(ISBLANK(Prices!D24),"",Prices!D24)</f>
        <v/>
      </c>
      <c r="E26" s="1" t="str">
        <f>IF(ISBLANK(Prices!E24),"",Prices!E24)</f>
        <v/>
      </c>
      <c r="F26" s="1" t="str">
        <f>IF(ISBLANK(Prices!F24),"",Prices!F24)</f>
        <v/>
      </c>
      <c r="G26" s="1" t="str">
        <f>IF(ISBLANK(Prices!G24),"",Prices!G24)</f>
        <v/>
      </c>
      <c r="H26" s="1" t="str">
        <f>IF(ISBLANK(Prices!H24),"",Prices!H24)</f>
        <v/>
      </c>
      <c r="I26" s="1" t="str">
        <f>IF(ISBLANK(Prices!I24),"",Prices!I24)</f>
        <v/>
      </c>
      <c r="J26" s="1" t="str">
        <f>IF(ISBLANK(Prices!J24),"",Prices!J24)</f>
        <v/>
      </c>
      <c r="K26" s="1" t="str">
        <f>IF(ISBLANK(Prices!K24),"",Prices!K24)</f>
        <v/>
      </c>
      <c r="L26" s="1" t="str">
        <f>IF(ISBLANK(Prices!L24),"",Prices!L24)</f>
        <v/>
      </c>
      <c r="M26" s="1" t="str">
        <f>IF(ISBLANK(Prices!M24),"",Prices!M24)</f>
        <v/>
      </c>
      <c r="N26" s="1" t="str">
        <f>IF(ISBLANK(Prices!N24),"",Prices!N24)</f>
        <v/>
      </c>
      <c r="O26" s="1" t="str">
        <f>IF(ISBLANK(Prices!O24),"",Prices!O24)</f>
        <v/>
      </c>
      <c r="P26" s="1" t="str">
        <f>IF(ISBLANK(Prices!P24),"",Prices!P24)</f>
        <v/>
      </c>
      <c r="Q26" s="1" t="str">
        <f>IF(ISBLANK(Prices!Q24),"",Prices!Q24)</f>
        <v/>
      </c>
      <c r="R26" s="1" t="str">
        <f>IF(ISBLANK(Prices!R24),"",Prices!R24)</f>
        <v/>
      </c>
      <c r="S26" s="1" t="str">
        <f>IF(ISBLANK(Prices!S24),"",Prices!S24)</f>
        <v/>
      </c>
      <c r="T26" s="1" t="str">
        <f>IF(ISBLANK(Prices!T24),"",Prices!T24)</f>
        <v/>
      </c>
      <c r="U26" s="1" t="str">
        <f>IF(ISBLANK(Prices!U24),"",Prices!U24)</f>
        <v/>
      </c>
      <c r="V26" s="1" t="str">
        <f>IF(ISBLANK(Prices!V24),"",Prices!V24)</f>
        <v/>
      </c>
      <c r="W26" s="1" t="str">
        <f>IF(ISBLANK(Prices!W24),"",Prices!W24)</f>
        <v/>
      </c>
      <c r="X26" s="1" t="str">
        <f>IF(ISBLANK(Prices!X24),"",Prices!X24)</f>
        <v/>
      </c>
      <c r="Y26" s="1" t="str">
        <f>IF(ISBLANK(Prices!Y24),"",Prices!Y24)</f>
        <v/>
      </c>
      <c r="Z26" s="1" t="str">
        <f>IF(ISBLANK(Prices!Z24),"",Prices!Z24)</f>
        <v/>
      </c>
      <c r="AA26" s="1" t="str">
        <f>IF(ISBLANK(Prices!AA24),"",Prices!AA24)</f>
        <v/>
      </c>
      <c r="AB26" s="1" t="str">
        <f>IF(ISBLANK(Prices!AB24),"",Prices!AB24)</f>
        <v/>
      </c>
      <c r="AC26" s="1" t="str">
        <f>IF(ISBLANK(Prices!AC24),"",Prices!AC24)</f>
        <v/>
      </c>
      <c r="AD26" s="1" t="str">
        <f>IF(ISBLANK(Prices!AD24),"",Prices!AD24)</f>
        <v/>
      </c>
      <c r="AE26" s="1" t="str">
        <f>IF(ISBLANK(Prices!AE24),"",Prices!AE24)</f>
        <v/>
      </c>
      <c r="AF26" s="1" t="str">
        <f>IF(ISBLANK(Prices!AF24),"",Prices!AF24)</f>
        <v/>
      </c>
      <c r="AG26" s="1" t="str">
        <f>IF(ISBLANK(Prices!AG24),"",Prices!AG24)</f>
        <v/>
      </c>
      <c r="AH26" s="1" t="str">
        <f>IF(ISBLANK(Prices!AH24),"",Prices!AH24)</f>
        <v/>
      </c>
      <c r="AI26" s="1" t="str">
        <f>IF(ISBLANK(Prices!AI24),"",Prices!AI24)</f>
        <v/>
      </c>
      <c r="AJ26" s="1" t="str">
        <f>IF(ISBLANK(Prices!AJ24),"",Prices!AJ24)</f>
        <v/>
      </c>
      <c r="AK26" s="1" t="str">
        <f>IF(ISBLANK(Prices!AK24),"",Prices!AK24)</f>
        <v/>
      </c>
      <c r="AL26" s="1" t="str">
        <f>IF(ISBLANK(Prices!AL24),"",Prices!AL24)</f>
        <v/>
      </c>
      <c r="AM26" s="1" t="str">
        <f>IF(ISBLANK(Prices!AM24),"",Prices!AM24)</f>
        <v/>
      </c>
      <c r="AN26" s="1" t="str">
        <f>IF(ISBLANK(Prices!AN24),"",Prices!AN24)</f>
        <v/>
      </c>
      <c r="AO26" s="1" t="str">
        <f>IF(ISBLANK(Prices!AO24),"",Prices!AO24)</f>
        <v/>
      </c>
      <c r="AP26" s="1" t="str">
        <f>IF(ISBLANK(Prices!AP24),"",Prices!AP24)</f>
        <v/>
      </c>
      <c r="AQ26" s="1" t="str">
        <f>IF(ISBLANK(Prices!AQ24),"",Prices!AQ24)</f>
        <v/>
      </c>
      <c r="AR26" s="1" t="str">
        <f>IF(ISBLANK(Prices!AR24),"",Prices!AR24)</f>
        <v/>
      </c>
      <c r="AS26" s="1" t="str">
        <f>IF(ISBLANK(Prices!AS24),"",Prices!AS24)</f>
        <v/>
      </c>
      <c r="AT26" s="1" t="str">
        <f>IF(ISBLANK(Prices!AT24),"",Prices!AT24)</f>
        <v/>
      </c>
      <c r="AU26" s="1" t="str">
        <f>IF(ISBLANK(Prices!AU24),"",Prices!AU24)</f>
        <v/>
      </c>
      <c r="AV26" s="1" t="str">
        <f>IF(ISBLANK(Prices!AV24),"",Prices!AV24)</f>
        <v/>
      </c>
      <c r="AW26" s="1" t="str">
        <f>IF(ISBLANK(Prices!AW24),"",Prices!AW24)</f>
        <v/>
      </c>
      <c r="AX26" s="1" t="str">
        <f>IF(ISBLANK(Prices!AX24),"",Prices!AX24)</f>
        <v/>
      </c>
      <c r="AY26" s="1" t="str">
        <f>IF(ISBLANK(Prices!AY24),"",Prices!AY24)</f>
        <v/>
      </c>
      <c r="AZ26" s="1" t="str">
        <f>IF(ISBLANK(Prices!AZ24),"",Prices!AZ24)</f>
        <v/>
      </c>
      <c r="BA26" s="1" t="str">
        <f>IF(ISBLANK(Prices!BA24),"",Prices!BA24)</f>
        <v/>
      </c>
      <c r="BB26" s="1" t="str">
        <f>IF(ISBLANK(Prices!BB24),"",Prices!BB24)</f>
        <v/>
      </c>
      <c r="BC26" s="1" t="str">
        <f>IF(ISBLANK(Prices!BC24),"",Prices!BC24)</f>
        <v/>
      </c>
      <c r="BD26" s="1" t="str">
        <f>IF(ISBLANK(Prices!BD24),"",Prices!BD24)</f>
        <v/>
      </c>
      <c r="BE26" s="1" t="str">
        <f>IF(ISBLANK(Prices!BE24),"",Prices!BE24)</f>
        <v/>
      </c>
      <c r="BF26" s="1" t="str">
        <f>IF(ISBLANK(Prices!BF24),"",Prices!BF24)</f>
        <v/>
      </c>
      <c r="BG26" s="1" t="str">
        <f>IF(ISBLANK(Prices!BG24),"",Prices!BG24)</f>
        <v/>
      </c>
      <c r="BH26" s="1" t="str">
        <f>IF(ISBLANK(Prices!BH24),"",Prices!BH24)</f>
        <v/>
      </c>
      <c r="BI26" s="1" t="str">
        <f>IF(ISBLANK(Prices!BI24),"",Prices!BI24)</f>
        <v/>
      </c>
      <c r="BJ26" s="1" t="str">
        <f>IF(ISBLANK(Prices!BJ24),"",Prices!BJ24)</f>
        <v/>
      </c>
      <c r="BK26" s="1" t="str">
        <f>IF(ISBLANK(Prices!BK24),"",Prices!BK24)</f>
        <v/>
      </c>
      <c r="BL26" s="1" t="str">
        <f>IF(ISBLANK(Prices!BL24),"",Prices!BL24)</f>
        <v/>
      </c>
      <c r="BM26" s="1" t="str">
        <f>IF(ISBLANK(Prices!BM24),"",Prices!BM24)</f>
        <v/>
      </c>
      <c r="BN26" s="1" t="str">
        <f>IF(ISBLANK(Prices!BN24),"",Prices!BN24)</f>
        <v/>
      </c>
      <c r="BO26" s="1" t="str">
        <f>IF(ISBLANK(Prices!BO24),"",Prices!BO24)</f>
        <v/>
      </c>
      <c r="BP26" s="1" t="str">
        <f>IF(ISBLANK(Prices!BP24),"",Prices!BP24)</f>
        <v/>
      </c>
      <c r="BQ26" s="1" t="str">
        <f>IF(ISBLANK(Prices!BQ24),"",Prices!BQ24)</f>
        <v/>
      </c>
      <c r="BR26" s="1" t="str">
        <f>IF(ISBLANK(Prices!BR24),"",Prices!BR24)</f>
        <v/>
      </c>
      <c r="BS26" s="1" t="str">
        <f>IF(ISBLANK(Prices!BS24),"",Prices!BS24)</f>
        <v/>
      </c>
      <c r="BT26" s="1" t="str">
        <f>IF(ISBLANK(Prices!BT24),"",Prices!BT24)</f>
        <v/>
      </c>
      <c r="BU26" s="1" t="str">
        <f>IF(ISBLANK(Prices!BU24),"",Prices!BU24)</f>
        <v/>
      </c>
      <c r="BV26" s="1" t="str">
        <f>IF(ISBLANK(Prices!BV24),"",Prices!BV24)</f>
        <v/>
      </c>
      <c r="BW26" s="1" t="str">
        <f>IF(ISBLANK(Prices!BW24),"",Prices!BW24)</f>
        <v/>
      </c>
      <c r="BX26" s="1" t="str">
        <f>IF(ISBLANK(Prices!BX24),"",Prices!BX24)</f>
        <v/>
      </c>
      <c r="BY26" s="1" t="str">
        <f>IF(ISBLANK(Prices!BY24),"",Prices!BY24)</f>
        <v/>
      </c>
      <c r="BZ26" s="1" t="str">
        <f>IF(ISBLANK(Prices!BZ24),"",Prices!BZ24)</f>
        <v/>
      </c>
      <c r="CA26" s="1" t="str">
        <f>IF(ISBLANK(Prices!CA24),"",Prices!CA24)</f>
        <v/>
      </c>
      <c r="CB26" s="1" t="str">
        <f>IF(ISBLANK(Prices!CB24),"",Prices!CB24)</f>
        <v/>
      </c>
      <c r="CC26" s="1" t="str">
        <f>IF(ISBLANK(Prices!CC24),"",Prices!CC24)</f>
        <v/>
      </c>
      <c r="CD26" s="1" t="str">
        <f>IF(ISBLANK(Prices!CD24),"",Prices!CD24)</f>
        <v/>
      </c>
      <c r="CE26" s="1" t="str">
        <f>IF(ISBLANK(Prices!CE24),"",Prices!CE24)</f>
        <v/>
      </c>
      <c r="CF26" s="1" t="str">
        <f>IF(ISBLANK(Prices!CF24),"",Prices!CF24)</f>
        <v/>
      </c>
      <c r="CG26" s="1" t="str">
        <f>IF(ISBLANK(Prices!CG24),"",Prices!CG24)</f>
        <v/>
      </c>
      <c r="CH26" s="1" t="str">
        <f>IF(ISBLANK(Prices!CH24),"",Prices!CH24)</f>
        <v/>
      </c>
      <c r="CI26" s="1" t="str">
        <f>IF(ISBLANK(Prices!CI24),"",Prices!CI24)</f>
        <v/>
      </c>
      <c r="CJ26" s="1" t="str">
        <f>IF(ISBLANK(Prices!CJ24),"",Prices!CJ24)</f>
        <v/>
      </c>
      <c r="CK26" s="1" t="str">
        <f>IF(ISBLANK(Prices!CK24),"",Prices!CK24)</f>
        <v/>
      </c>
      <c r="CL26" s="1" t="str">
        <f>IF(ISBLANK(Prices!CL24),"",Prices!CL24)</f>
        <v/>
      </c>
      <c r="CM26" s="1" t="str">
        <f>IF(ISBLANK(Prices!CM24),"",Prices!CM24)</f>
        <v/>
      </c>
      <c r="CN26" s="1" t="str">
        <f>IF(ISBLANK(Prices!CN24),"",Prices!CN24)</f>
        <v/>
      </c>
    </row>
    <row r="27" spans="2:92" x14ac:dyDescent="0.25">
      <c r="B27" s="1" t="str">
        <f>IF(ISBLANK(Prices!A25),"",Prices!A25)</f>
        <v/>
      </c>
      <c r="C27" s="1" t="str">
        <f>IF(ISBLANK(Prices!C25),"",Prices!C25)</f>
        <v/>
      </c>
      <c r="D27" s="1" t="str">
        <f>IF(ISBLANK(Prices!D25),"",Prices!D25)</f>
        <v/>
      </c>
      <c r="E27" s="1" t="str">
        <f>IF(ISBLANK(Prices!E25),"",Prices!E25)</f>
        <v/>
      </c>
      <c r="F27" s="1" t="str">
        <f>IF(ISBLANK(Prices!F25),"",Prices!F25)</f>
        <v/>
      </c>
      <c r="G27" s="1" t="str">
        <f>IF(ISBLANK(Prices!G25),"",Prices!G25)</f>
        <v/>
      </c>
      <c r="H27" s="1" t="str">
        <f>IF(ISBLANK(Prices!H25),"",Prices!H25)</f>
        <v/>
      </c>
      <c r="I27" s="1" t="str">
        <f>IF(ISBLANK(Prices!I25),"",Prices!I25)</f>
        <v/>
      </c>
      <c r="J27" s="1" t="str">
        <f>IF(ISBLANK(Prices!J25),"",Prices!J25)</f>
        <v/>
      </c>
      <c r="K27" s="1" t="str">
        <f>IF(ISBLANK(Prices!K25),"",Prices!K25)</f>
        <v/>
      </c>
      <c r="L27" s="1" t="str">
        <f>IF(ISBLANK(Prices!L25),"",Prices!L25)</f>
        <v/>
      </c>
      <c r="M27" s="1" t="str">
        <f>IF(ISBLANK(Prices!M25),"",Prices!M25)</f>
        <v/>
      </c>
      <c r="N27" s="1" t="str">
        <f>IF(ISBLANK(Prices!N25),"",Prices!N25)</f>
        <v/>
      </c>
      <c r="O27" s="1" t="str">
        <f>IF(ISBLANK(Prices!O25),"",Prices!O25)</f>
        <v/>
      </c>
      <c r="P27" s="1" t="str">
        <f>IF(ISBLANK(Prices!P25),"",Prices!P25)</f>
        <v/>
      </c>
      <c r="Q27" s="1" t="str">
        <f>IF(ISBLANK(Prices!Q25),"",Prices!Q25)</f>
        <v/>
      </c>
      <c r="R27" s="1" t="str">
        <f>IF(ISBLANK(Prices!R25),"",Prices!R25)</f>
        <v/>
      </c>
      <c r="S27" s="1" t="str">
        <f>IF(ISBLANK(Prices!S25),"",Prices!S25)</f>
        <v/>
      </c>
      <c r="T27" s="1" t="str">
        <f>IF(ISBLANK(Prices!T25),"",Prices!T25)</f>
        <v/>
      </c>
      <c r="U27" s="1" t="str">
        <f>IF(ISBLANK(Prices!U25),"",Prices!U25)</f>
        <v/>
      </c>
      <c r="V27" s="1" t="str">
        <f>IF(ISBLANK(Prices!V25),"",Prices!V25)</f>
        <v/>
      </c>
      <c r="W27" s="1" t="str">
        <f>IF(ISBLANK(Prices!W25),"",Prices!W25)</f>
        <v/>
      </c>
      <c r="X27" s="1" t="str">
        <f>IF(ISBLANK(Prices!X25),"",Prices!X25)</f>
        <v/>
      </c>
      <c r="Y27" s="1" t="str">
        <f>IF(ISBLANK(Prices!Y25),"",Prices!Y25)</f>
        <v/>
      </c>
      <c r="Z27" s="1" t="str">
        <f>IF(ISBLANK(Prices!Z25),"",Prices!Z25)</f>
        <v/>
      </c>
      <c r="AA27" s="1" t="str">
        <f>IF(ISBLANK(Prices!AA25),"",Prices!AA25)</f>
        <v/>
      </c>
      <c r="AB27" s="1" t="str">
        <f>IF(ISBLANK(Prices!AB25),"",Prices!AB25)</f>
        <v/>
      </c>
      <c r="AC27" s="1" t="str">
        <f>IF(ISBLANK(Prices!AC25),"",Prices!AC25)</f>
        <v/>
      </c>
      <c r="AD27" s="1" t="str">
        <f>IF(ISBLANK(Prices!AD25),"",Prices!AD25)</f>
        <v/>
      </c>
      <c r="AE27" s="1" t="str">
        <f>IF(ISBLANK(Prices!AE25),"",Prices!AE25)</f>
        <v/>
      </c>
      <c r="AF27" s="1" t="str">
        <f>IF(ISBLANK(Prices!AF25),"",Prices!AF25)</f>
        <v/>
      </c>
      <c r="AG27" s="1" t="str">
        <f>IF(ISBLANK(Prices!AG25),"",Prices!AG25)</f>
        <v/>
      </c>
      <c r="AH27" s="1" t="str">
        <f>IF(ISBLANK(Prices!AH25),"",Prices!AH25)</f>
        <v/>
      </c>
      <c r="AI27" s="1" t="str">
        <f>IF(ISBLANK(Prices!AI25),"",Prices!AI25)</f>
        <v/>
      </c>
      <c r="AJ27" s="1" t="str">
        <f>IF(ISBLANK(Prices!AJ25),"",Prices!AJ25)</f>
        <v/>
      </c>
      <c r="AK27" s="1" t="str">
        <f>IF(ISBLANK(Prices!AK25),"",Prices!AK25)</f>
        <v/>
      </c>
      <c r="AL27" s="1" t="str">
        <f>IF(ISBLANK(Prices!AL25),"",Prices!AL25)</f>
        <v/>
      </c>
      <c r="AM27" s="1" t="str">
        <f>IF(ISBLANK(Prices!AM25),"",Prices!AM25)</f>
        <v/>
      </c>
      <c r="AN27" s="1" t="str">
        <f>IF(ISBLANK(Prices!AN25),"",Prices!AN25)</f>
        <v/>
      </c>
      <c r="AO27" s="1" t="str">
        <f>IF(ISBLANK(Prices!AO25),"",Prices!AO25)</f>
        <v/>
      </c>
      <c r="AP27" s="1" t="str">
        <f>IF(ISBLANK(Prices!AP25),"",Prices!AP25)</f>
        <v/>
      </c>
      <c r="AQ27" s="1" t="str">
        <f>IF(ISBLANK(Prices!AQ25),"",Prices!AQ25)</f>
        <v/>
      </c>
      <c r="AR27" s="1" t="str">
        <f>IF(ISBLANK(Prices!AR25),"",Prices!AR25)</f>
        <v/>
      </c>
      <c r="AS27" s="1" t="str">
        <f>IF(ISBLANK(Prices!AS25),"",Prices!AS25)</f>
        <v/>
      </c>
      <c r="AT27" s="1" t="str">
        <f>IF(ISBLANK(Prices!AT25),"",Prices!AT25)</f>
        <v/>
      </c>
      <c r="AU27" s="1" t="str">
        <f>IF(ISBLANK(Prices!AU25),"",Prices!AU25)</f>
        <v/>
      </c>
      <c r="AV27" s="1" t="str">
        <f>IF(ISBLANK(Prices!AV25),"",Prices!AV25)</f>
        <v/>
      </c>
      <c r="AW27" s="1" t="str">
        <f>IF(ISBLANK(Prices!AW25),"",Prices!AW25)</f>
        <v/>
      </c>
      <c r="AX27" s="1" t="str">
        <f>IF(ISBLANK(Prices!AX25),"",Prices!AX25)</f>
        <v/>
      </c>
      <c r="AY27" s="1" t="str">
        <f>IF(ISBLANK(Prices!AY25),"",Prices!AY25)</f>
        <v/>
      </c>
      <c r="AZ27" s="1" t="str">
        <f>IF(ISBLANK(Prices!AZ25),"",Prices!AZ25)</f>
        <v/>
      </c>
      <c r="BA27" s="1" t="str">
        <f>IF(ISBLANK(Prices!BA25),"",Prices!BA25)</f>
        <v/>
      </c>
      <c r="BB27" s="1" t="str">
        <f>IF(ISBLANK(Prices!BB25),"",Prices!BB25)</f>
        <v/>
      </c>
      <c r="BC27" s="1" t="str">
        <f>IF(ISBLANK(Prices!BC25),"",Prices!BC25)</f>
        <v/>
      </c>
      <c r="BD27" s="1" t="str">
        <f>IF(ISBLANK(Prices!BD25),"",Prices!BD25)</f>
        <v/>
      </c>
      <c r="BE27" s="1" t="str">
        <f>IF(ISBLANK(Prices!BE25),"",Prices!BE25)</f>
        <v/>
      </c>
      <c r="BF27" s="1" t="str">
        <f>IF(ISBLANK(Prices!BF25),"",Prices!BF25)</f>
        <v/>
      </c>
      <c r="BG27" s="1" t="str">
        <f>IF(ISBLANK(Prices!BG25),"",Prices!BG25)</f>
        <v/>
      </c>
      <c r="BH27" s="1" t="str">
        <f>IF(ISBLANK(Prices!BH25),"",Prices!BH25)</f>
        <v/>
      </c>
      <c r="BI27" s="1" t="str">
        <f>IF(ISBLANK(Prices!BI25),"",Prices!BI25)</f>
        <v/>
      </c>
      <c r="BJ27" s="1" t="str">
        <f>IF(ISBLANK(Prices!BJ25),"",Prices!BJ25)</f>
        <v/>
      </c>
      <c r="BK27" s="1" t="str">
        <f>IF(ISBLANK(Prices!BK25),"",Prices!BK25)</f>
        <v/>
      </c>
      <c r="BL27" s="1" t="str">
        <f>IF(ISBLANK(Prices!BL25),"",Prices!BL25)</f>
        <v/>
      </c>
      <c r="BM27" s="1" t="str">
        <f>IF(ISBLANK(Prices!BM25),"",Prices!BM25)</f>
        <v/>
      </c>
      <c r="BN27" s="1" t="str">
        <f>IF(ISBLANK(Prices!BN25),"",Prices!BN25)</f>
        <v/>
      </c>
      <c r="BO27" s="1" t="str">
        <f>IF(ISBLANK(Prices!BO25),"",Prices!BO25)</f>
        <v/>
      </c>
      <c r="BP27" s="1" t="str">
        <f>IF(ISBLANK(Prices!BP25),"",Prices!BP25)</f>
        <v/>
      </c>
      <c r="BQ27" s="1" t="str">
        <f>IF(ISBLANK(Prices!BQ25),"",Prices!BQ25)</f>
        <v/>
      </c>
      <c r="BR27" s="1" t="str">
        <f>IF(ISBLANK(Prices!BR25),"",Prices!BR25)</f>
        <v/>
      </c>
      <c r="BS27" s="1" t="str">
        <f>IF(ISBLANK(Prices!BS25),"",Prices!BS25)</f>
        <v/>
      </c>
      <c r="BT27" s="1" t="str">
        <f>IF(ISBLANK(Prices!BT25),"",Prices!BT25)</f>
        <v/>
      </c>
      <c r="BU27" s="1" t="str">
        <f>IF(ISBLANK(Prices!BU25),"",Prices!BU25)</f>
        <v/>
      </c>
      <c r="BV27" s="1" t="str">
        <f>IF(ISBLANK(Prices!BV25),"",Prices!BV25)</f>
        <v/>
      </c>
      <c r="BW27" s="1" t="str">
        <f>IF(ISBLANK(Prices!BW25),"",Prices!BW25)</f>
        <v/>
      </c>
      <c r="BX27" s="1" t="str">
        <f>IF(ISBLANK(Prices!BX25),"",Prices!BX25)</f>
        <v/>
      </c>
      <c r="BY27" s="1" t="str">
        <f>IF(ISBLANK(Prices!BY25),"",Prices!BY25)</f>
        <v/>
      </c>
      <c r="BZ27" s="1" t="str">
        <f>IF(ISBLANK(Prices!BZ25),"",Prices!BZ25)</f>
        <v/>
      </c>
      <c r="CA27" s="1" t="str">
        <f>IF(ISBLANK(Prices!CA25),"",Prices!CA25)</f>
        <v/>
      </c>
      <c r="CB27" s="1" t="str">
        <f>IF(ISBLANK(Prices!CB25),"",Prices!CB25)</f>
        <v/>
      </c>
      <c r="CC27" s="1" t="str">
        <f>IF(ISBLANK(Prices!CC25),"",Prices!CC25)</f>
        <v/>
      </c>
      <c r="CD27" s="1" t="str">
        <f>IF(ISBLANK(Prices!CD25),"",Prices!CD25)</f>
        <v/>
      </c>
      <c r="CE27" s="1" t="str">
        <f>IF(ISBLANK(Prices!CE25),"",Prices!CE25)</f>
        <v/>
      </c>
      <c r="CF27" s="1" t="str">
        <f>IF(ISBLANK(Prices!CF25),"",Prices!CF25)</f>
        <v/>
      </c>
      <c r="CG27" s="1" t="str">
        <f>IF(ISBLANK(Prices!CG25),"",Prices!CG25)</f>
        <v/>
      </c>
      <c r="CH27" s="1" t="str">
        <f>IF(ISBLANK(Prices!CH25),"",Prices!CH25)</f>
        <v/>
      </c>
      <c r="CI27" s="1" t="str">
        <f>IF(ISBLANK(Prices!CI25),"",Prices!CI25)</f>
        <v/>
      </c>
      <c r="CJ27" s="1" t="str">
        <f>IF(ISBLANK(Prices!CJ25),"",Prices!CJ25)</f>
        <v/>
      </c>
      <c r="CK27" s="1" t="str">
        <f>IF(ISBLANK(Prices!CK25),"",Prices!CK25)</f>
        <v/>
      </c>
      <c r="CL27" s="1" t="str">
        <f>IF(ISBLANK(Prices!CL25),"",Prices!CL25)</f>
        <v/>
      </c>
      <c r="CM27" s="1" t="str">
        <f>IF(ISBLANK(Prices!CM25),"",Prices!CM25)</f>
        <v/>
      </c>
      <c r="CN27" s="1" t="str">
        <f>IF(ISBLANK(Prices!CN25),"",Prices!CN25)</f>
        <v/>
      </c>
    </row>
    <row r="28" spans="2:92" x14ac:dyDescent="0.25">
      <c r="B28" s="1" t="str">
        <f>IF(ISBLANK(Prices!A26),"",Prices!A26)</f>
        <v/>
      </c>
      <c r="C28" s="1" t="str">
        <f>IF(ISBLANK(Prices!C26),"",Prices!C26)</f>
        <v/>
      </c>
      <c r="D28" s="1" t="str">
        <f>IF(ISBLANK(Prices!D26),"",Prices!D26)</f>
        <v/>
      </c>
      <c r="E28" s="1" t="str">
        <f>IF(ISBLANK(Prices!E26),"",Prices!E26)</f>
        <v/>
      </c>
      <c r="F28" s="1" t="str">
        <f>IF(ISBLANK(Prices!F26),"",Prices!F26)</f>
        <v/>
      </c>
      <c r="G28" s="1" t="str">
        <f>IF(ISBLANK(Prices!G26),"",Prices!G26)</f>
        <v/>
      </c>
      <c r="H28" s="1" t="str">
        <f>IF(ISBLANK(Prices!H26),"",Prices!H26)</f>
        <v/>
      </c>
      <c r="I28" s="1" t="str">
        <f>IF(ISBLANK(Prices!I26),"",Prices!I26)</f>
        <v/>
      </c>
      <c r="J28" s="1" t="str">
        <f>IF(ISBLANK(Prices!J26),"",Prices!J26)</f>
        <v/>
      </c>
      <c r="K28" s="1" t="str">
        <f>IF(ISBLANK(Prices!K26),"",Prices!K26)</f>
        <v/>
      </c>
      <c r="L28" s="1" t="str">
        <f>IF(ISBLANK(Prices!L26),"",Prices!L26)</f>
        <v/>
      </c>
      <c r="M28" s="1" t="str">
        <f>IF(ISBLANK(Prices!M26),"",Prices!M26)</f>
        <v/>
      </c>
      <c r="N28" s="1" t="str">
        <f>IF(ISBLANK(Prices!N26),"",Prices!N26)</f>
        <v/>
      </c>
      <c r="O28" s="1" t="str">
        <f>IF(ISBLANK(Prices!O26),"",Prices!O26)</f>
        <v/>
      </c>
      <c r="P28" s="1" t="str">
        <f>IF(ISBLANK(Prices!P26),"",Prices!P26)</f>
        <v/>
      </c>
      <c r="Q28" s="1" t="str">
        <f>IF(ISBLANK(Prices!Q26),"",Prices!Q26)</f>
        <v/>
      </c>
      <c r="R28" s="1" t="str">
        <f>IF(ISBLANK(Prices!R26),"",Prices!R26)</f>
        <v/>
      </c>
      <c r="S28" s="1" t="str">
        <f>IF(ISBLANK(Prices!S26),"",Prices!S26)</f>
        <v/>
      </c>
      <c r="T28" s="1" t="str">
        <f>IF(ISBLANK(Prices!T26),"",Prices!T26)</f>
        <v/>
      </c>
      <c r="U28" s="1" t="str">
        <f>IF(ISBLANK(Prices!U26),"",Prices!U26)</f>
        <v/>
      </c>
      <c r="V28" s="1" t="str">
        <f>IF(ISBLANK(Prices!V26),"",Prices!V26)</f>
        <v/>
      </c>
      <c r="W28" s="1" t="str">
        <f>IF(ISBLANK(Prices!W26),"",Prices!W26)</f>
        <v/>
      </c>
      <c r="X28" s="1" t="str">
        <f>IF(ISBLANK(Prices!X26),"",Prices!X26)</f>
        <v/>
      </c>
      <c r="Y28" s="1" t="str">
        <f>IF(ISBLANK(Prices!Y26),"",Prices!Y26)</f>
        <v/>
      </c>
      <c r="Z28" s="1" t="str">
        <f>IF(ISBLANK(Prices!Z26),"",Prices!Z26)</f>
        <v/>
      </c>
      <c r="AA28" s="1" t="str">
        <f>IF(ISBLANK(Prices!AA26),"",Prices!AA26)</f>
        <v/>
      </c>
      <c r="AB28" s="1" t="str">
        <f>IF(ISBLANK(Prices!AB26),"",Prices!AB26)</f>
        <v/>
      </c>
      <c r="AC28" s="1" t="str">
        <f>IF(ISBLANK(Prices!AC26),"",Prices!AC26)</f>
        <v/>
      </c>
      <c r="AD28" s="1" t="str">
        <f>IF(ISBLANK(Prices!AD26),"",Prices!AD26)</f>
        <v/>
      </c>
      <c r="AE28" s="1" t="str">
        <f>IF(ISBLANK(Prices!AE26),"",Prices!AE26)</f>
        <v/>
      </c>
      <c r="AF28" s="1" t="str">
        <f>IF(ISBLANK(Prices!AF26),"",Prices!AF26)</f>
        <v/>
      </c>
      <c r="AG28" s="1" t="str">
        <f>IF(ISBLANK(Prices!AG26),"",Prices!AG26)</f>
        <v/>
      </c>
      <c r="AH28" s="1" t="str">
        <f>IF(ISBLANK(Prices!AH26),"",Prices!AH26)</f>
        <v/>
      </c>
      <c r="AI28" s="1" t="str">
        <f>IF(ISBLANK(Prices!AI26),"",Prices!AI26)</f>
        <v/>
      </c>
      <c r="AJ28" s="1" t="str">
        <f>IF(ISBLANK(Prices!AJ26),"",Prices!AJ26)</f>
        <v/>
      </c>
      <c r="AK28" s="1" t="str">
        <f>IF(ISBLANK(Prices!AK26),"",Prices!AK26)</f>
        <v/>
      </c>
      <c r="AL28" s="1" t="str">
        <f>IF(ISBLANK(Prices!AL26),"",Prices!AL26)</f>
        <v/>
      </c>
      <c r="AM28" s="1" t="str">
        <f>IF(ISBLANK(Prices!AM26),"",Prices!AM26)</f>
        <v/>
      </c>
      <c r="AN28" s="1" t="str">
        <f>IF(ISBLANK(Prices!AN26),"",Prices!AN26)</f>
        <v/>
      </c>
      <c r="AO28" s="1" t="str">
        <f>IF(ISBLANK(Prices!AO26),"",Prices!AO26)</f>
        <v/>
      </c>
      <c r="AP28" s="1" t="str">
        <f>IF(ISBLANK(Prices!AP26),"",Prices!AP26)</f>
        <v/>
      </c>
      <c r="AQ28" s="1" t="str">
        <f>IF(ISBLANK(Prices!AQ26),"",Prices!AQ26)</f>
        <v/>
      </c>
      <c r="AR28" s="1" t="str">
        <f>IF(ISBLANK(Prices!AR26),"",Prices!AR26)</f>
        <v/>
      </c>
      <c r="AS28" s="1" t="str">
        <f>IF(ISBLANK(Prices!AS26),"",Prices!AS26)</f>
        <v/>
      </c>
      <c r="AT28" s="1" t="str">
        <f>IF(ISBLANK(Prices!AT26),"",Prices!AT26)</f>
        <v/>
      </c>
      <c r="AU28" s="1" t="str">
        <f>IF(ISBLANK(Prices!AU26),"",Prices!AU26)</f>
        <v/>
      </c>
      <c r="AV28" s="1" t="str">
        <f>IF(ISBLANK(Prices!AV26),"",Prices!AV26)</f>
        <v/>
      </c>
      <c r="AW28" s="1" t="str">
        <f>IF(ISBLANK(Prices!AW26),"",Prices!AW26)</f>
        <v/>
      </c>
      <c r="AX28" s="1" t="str">
        <f>IF(ISBLANK(Prices!AX26),"",Prices!AX26)</f>
        <v/>
      </c>
      <c r="AY28" s="1" t="str">
        <f>IF(ISBLANK(Prices!AY26),"",Prices!AY26)</f>
        <v/>
      </c>
      <c r="AZ28" s="1" t="str">
        <f>IF(ISBLANK(Prices!AZ26),"",Prices!AZ26)</f>
        <v/>
      </c>
      <c r="BA28" s="1" t="str">
        <f>IF(ISBLANK(Prices!BA26),"",Prices!BA26)</f>
        <v/>
      </c>
      <c r="BB28" s="1" t="str">
        <f>IF(ISBLANK(Prices!BB26),"",Prices!BB26)</f>
        <v/>
      </c>
      <c r="BC28" s="1" t="str">
        <f>IF(ISBLANK(Prices!BC26),"",Prices!BC26)</f>
        <v/>
      </c>
      <c r="BD28" s="1" t="str">
        <f>IF(ISBLANK(Prices!BD26),"",Prices!BD26)</f>
        <v/>
      </c>
      <c r="BE28" s="1" t="str">
        <f>IF(ISBLANK(Prices!BE26),"",Prices!BE26)</f>
        <v/>
      </c>
      <c r="BF28" s="1" t="str">
        <f>IF(ISBLANK(Prices!BF26),"",Prices!BF26)</f>
        <v/>
      </c>
      <c r="BG28" s="1" t="str">
        <f>IF(ISBLANK(Prices!BG26),"",Prices!BG26)</f>
        <v/>
      </c>
      <c r="BH28" s="1" t="str">
        <f>IF(ISBLANK(Prices!BH26),"",Prices!BH26)</f>
        <v/>
      </c>
      <c r="BI28" s="1" t="str">
        <f>IF(ISBLANK(Prices!BI26),"",Prices!BI26)</f>
        <v/>
      </c>
      <c r="BJ28" s="1" t="str">
        <f>IF(ISBLANK(Prices!BJ26),"",Prices!BJ26)</f>
        <v/>
      </c>
      <c r="BK28" s="1" t="str">
        <f>IF(ISBLANK(Prices!BK26),"",Prices!BK26)</f>
        <v/>
      </c>
      <c r="BL28" s="1" t="str">
        <f>IF(ISBLANK(Prices!BL26),"",Prices!BL26)</f>
        <v/>
      </c>
      <c r="BM28" s="1" t="str">
        <f>IF(ISBLANK(Prices!BM26),"",Prices!BM26)</f>
        <v/>
      </c>
      <c r="BN28" s="1" t="str">
        <f>IF(ISBLANK(Prices!BN26),"",Prices!BN26)</f>
        <v/>
      </c>
      <c r="BO28" s="1" t="str">
        <f>IF(ISBLANK(Prices!BO26),"",Prices!BO26)</f>
        <v/>
      </c>
      <c r="BP28" s="1" t="str">
        <f>IF(ISBLANK(Prices!BP26),"",Prices!BP26)</f>
        <v/>
      </c>
      <c r="BQ28" s="1" t="str">
        <f>IF(ISBLANK(Prices!BQ26),"",Prices!BQ26)</f>
        <v/>
      </c>
      <c r="BR28" s="1" t="str">
        <f>IF(ISBLANK(Prices!BR26),"",Prices!BR26)</f>
        <v/>
      </c>
      <c r="BS28" s="1" t="str">
        <f>IF(ISBLANK(Prices!BS26),"",Prices!BS26)</f>
        <v/>
      </c>
      <c r="BT28" s="1" t="str">
        <f>IF(ISBLANK(Prices!BT26),"",Prices!BT26)</f>
        <v/>
      </c>
      <c r="BU28" s="1" t="str">
        <f>IF(ISBLANK(Prices!BU26),"",Prices!BU26)</f>
        <v/>
      </c>
      <c r="BV28" s="1" t="str">
        <f>IF(ISBLANK(Prices!BV26),"",Prices!BV26)</f>
        <v/>
      </c>
      <c r="BW28" s="1" t="str">
        <f>IF(ISBLANK(Prices!BW26),"",Prices!BW26)</f>
        <v/>
      </c>
      <c r="BX28" s="1" t="str">
        <f>IF(ISBLANK(Prices!BX26),"",Prices!BX26)</f>
        <v/>
      </c>
      <c r="BY28" s="1" t="str">
        <f>IF(ISBLANK(Prices!BY26),"",Prices!BY26)</f>
        <v/>
      </c>
      <c r="BZ28" s="1" t="str">
        <f>IF(ISBLANK(Prices!BZ26),"",Prices!BZ26)</f>
        <v/>
      </c>
      <c r="CA28" s="1" t="str">
        <f>IF(ISBLANK(Prices!CA26),"",Prices!CA26)</f>
        <v/>
      </c>
      <c r="CB28" s="1" t="str">
        <f>IF(ISBLANK(Prices!CB26),"",Prices!CB26)</f>
        <v/>
      </c>
      <c r="CC28" s="1" t="str">
        <f>IF(ISBLANK(Prices!CC26),"",Prices!CC26)</f>
        <v/>
      </c>
      <c r="CD28" s="1" t="str">
        <f>IF(ISBLANK(Prices!CD26),"",Prices!CD26)</f>
        <v/>
      </c>
      <c r="CE28" s="1" t="str">
        <f>IF(ISBLANK(Prices!CE26),"",Prices!CE26)</f>
        <v/>
      </c>
      <c r="CF28" s="1" t="str">
        <f>IF(ISBLANK(Prices!CF26),"",Prices!CF26)</f>
        <v/>
      </c>
      <c r="CG28" s="1" t="str">
        <f>IF(ISBLANK(Prices!CG26),"",Prices!CG26)</f>
        <v/>
      </c>
      <c r="CH28" s="1" t="str">
        <f>IF(ISBLANK(Prices!CH26),"",Prices!CH26)</f>
        <v/>
      </c>
      <c r="CI28" s="1" t="str">
        <f>IF(ISBLANK(Prices!CI26),"",Prices!CI26)</f>
        <v/>
      </c>
      <c r="CJ28" s="1" t="str">
        <f>IF(ISBLANK(Prices!CJ26),"",Prices!CJ26)</f>
        <v/>
      </c>
      <c r="CK28" s="1" t="str">
        <f>IF(ISBLANK(Prices!CK26),"",Prices!CK26)</f>
        <v/>
      </c>
      <c r="CL28" s="1" t="str">
        <f>IF(ISBLANK(Prices!CL26),"",Prices!CL26)</f>
        <v/>
      </c>
      <c r="CM28" s="1" t="str">
        <f>IF(ISBLANK(Prices!CM26),"",Prices!CM26)</f>
        <v/>
      </c>
      <c r="CN28" s="1" t="str">
        <f>IF(ISBLANK(Prices!CN26),"",Prices!CN26)</f>
        <v/>
      </c>
    </row>
    <row r="29" spans="2:92" x14ac:dyDescent="0.25">
      <c r="B29" s="1" t="str">
        <f>IF(ISBLANK(Prices!A27),"",Prices!A27)</f>
        <v/>
      </c>
      <c r="C29" s="1" t="str">
        <f>IF(ISBLANK(Prices!C27),"",Prices!C27)</f>
        <v/>
      </c>
      <c r="D29" s="1" t="str">
        <f>IF(ISBLANK(Prices!D27),"",Prices!D27)</f>
        <v/>
      </c>
      <c r="E29" s="1" t="str">
        <f>IF(ISBLANK(Prices!E27),"",Prices!E27)</f>
        <v/>
      </c>
      <c r="F29" s="1" t="str">
        <f>IF(ISBLANK(Prices!F27),"",Prices!F27)</f>
        <v/>
      </c>
      <c r="G29" s="1" t="str">
        <f>IF(ISBLANK(Prices!G27),"",Prices!G27)</f>
        <v/>
      </c>
      <c r="H29" s="1" t="str">
        <f>IF(ISBLANK(Prices!H27),"",Prices!H27)</f>
        <v/>
      </c>
      <c r="I29" s="1" t="str">
        <f>IF(ISBLANK(Prices!I27),"",Prices!I27)</f>
        <v/>
      </c>
      <c r="J29" s="1" t="str">
        <f>IF(ISBLANK(Prices!J27),"",Prices!J27)</f>
        <v/>
      </c>
      <c r="K29" s="1" t="str">
        <f>IF(ISBLANK(Prices!K27),"",Prices!K27)</f>
        <v/>
      </c>
      <c r="L29" s="1" t="str">
        <f>IF(ISBLANK(Prices!L27),"",Prices!L27)</f>
        <v/>
      </c>
      <c r="M29" s="1" t="str">
        <f>IF(ISBLANK(Prices!M27),"",Prices!M27)</f>
        <v/>
      </c>
      <c r="N29" s="1" t="str">
        <f>IF(ISBLANK(Prices!N27),"",Prices!N27)</f>
        <v/>
      </c>
      <c r="O29" s="1" t="str">
        <f>IF(ISBLANK(Prices!O27),"",Prices!O27)</f>
        <v/>
      </c>
      <c r="P29" s="1" t="str">
        <f>IF(ISBLANK(Prices!P27),"",Prices!P27)</f>
        <v/>
      </c>
      <c r="Q29" s="1" t="str">
        <f>IF(ISBLANK(Prices!Q27),"",Prices!Q27)</f>
        <v/>
      </c>
      <c r="R29" s="1" t="str">
        <f>IF(ISBLANK(Prices!R27),"",Prices!R27)</f>
        <v/>
      </c>
      <c r="S29" s="1" t="str">
        <f>IF(ISBLANK(Prices!S27),"",Prices!S27)</f>
        <v/>
      </c>
      <c r="T29" s="1" t="str">
        <f>IF(ISBLANK(Prices!T27),"",Prices!T27)</f>
        <v/>
      </c>
      <c r="U29" s="1" t="str">
        <f>IF(ISBLANK(Prices!U27),"",Prices!U27)</f>
        <v/>
      </c>
      <c r="V29" s="1" t="str">
        <f>IF(ISBLANK(Prices!V27),"",Prices!V27)</f>
        <v/>
      </c>
      <c r="W29" s="1" t="str">
        <f>IF(ISBLANK(Prices!W27),"",Prices!W27)</f>
        <v/>
      </c>
      <c r="X29" s="1" t="str">
        <f>IF(ISBLANK(Prices!X27),"",Prices!X27)</f>
        <v/>
      </c>
      <c r="Y29" s="1" t="str">
        <f>IF(ISBLANK(Prices!Y27),"",Prices!Y27)</f>
        <v/>
      </c>
      <c r="Z29" s="1" t="str">
        <f>IF(ISBLANK(Prices!Z27),"",Prices!Z27)</f>
        <v/>
      </c>
      <c r="AA29" s="1" t="str">
        <f>IF(ISBLANK(Prices!AA27),"",Prices!AA27)</f>
        <v/>
      </c>
      <c r="AB29" s="1" t="str">
        <f>IF(ISBLANK(Prices!AB27),"",Prices!AB27)</f>
        <v/>
      </c>
      <c r="AC29" s="1" t="str">
        <f>IF(ISBLANK(Prices!AC27),"",Prices!AC27)</f>
        <v/>
      </c>
      <c r="AD29" s="1" t="str">
        <f>IF(ISBLANK(Prices!AD27),"",Prices!AD27)</f>
        <v/>
      </c>
      <c r="AE29" s="1" t="str">
        <f>IF(ISBLANK(Prices!AE27),"",Prices!AE27)</f>
        <v/>
      </c>
      <c r="AF29" s="1" t="str">
        <f>IF(ISBLANK(Prices!AF27),"",Prices!AF27)</f>
        <v/>
      </c>
      <c r="AG29" s="1" t="str">
        <f>IF(ISBLANK(Prices!AG27),"",Prices!AG27)</f>
        <v/>
      </c>
      <c r="AH29" s="1" t="str">
        <f>IF(ISBLANK(Prices!AH27),"",Prices!AH27)</f>
        <v/>
      </c>
      <c r="AI29" s="1" t="str">
        <f>IF(ISBLANK(Prices!AI27),"",Prices!AI27)</f>
        <v/>
      </c>
      <c r="AJ29" s="1" t="str">
        <f>IF(ISBLANK(Prices!AJ27),"",Prices!AJ27)</f>
        <v/>
      </c>
      <c r="AK29" s="1" t="str">
        <f>IF(ISBLANK(Prices!AK27),"",Prices!AK27)</f>
        <v/>
      </c>
      <c r="AL29" s="1" t="str">
        <f>IF(ISBLANK(Prices!AL27),"",Prices!AL27)</f>
        <v/>
      </c>
      <c r="AM29" s="1" t="str">
        <f>IF(ISBLANK(Prices!AM27),"",Prices!AM27)</f>
        <v/>
      </c>
      <c r="AN29" s="1" t="str">
        <f>IF(ISBLANK(Prices!AN27),"",Prices!AN27)</f>
        <v/>
      </c>
      <c r="AO29" s="1" t="str">
        <f>IF(ISBLANK(Prices!AO27),"",Prices!AO27)</f>
        <v/>
      </c>
      <c r="AP29" s="1" t="str">
        <f>IF(ISBLANK(Prices!AP27),"",Prices!AP27)</f>
        <v/>
      </c>
      <c r="AQ29" s="1" t="str">
        <f>IF(ISBLANK(Prices!AQ27),"",Prices!AQ27)</f>
        <v/>
      </c>
      <c r="AR29" s="1" t="str">
        <f>IF(ISBLANK(Prices!AR27),"",Prices!AR27)</f>
        <v/>
      </c>
      <c r="AS29" s="1" t="str">
        <f>IF(ISBLANK(Prices!AS27),"",Prices!AS27)</f>
        <v/>
      </c>
      <c r="AT29" s="1" t="str">
        <f>IF(ISBLANK(Prices!AT27),"",Prices!AT27)</f>
        <v/>
      </c>
      <c r="AU29" s="1" t="str">
        <f>IF(ISBLANK(Prices!AU27),"",Prices!AU27)</f>
        <v/>
      </c>
      <c r="AV29" s="1" t="str">
        <f>IF(ISBLANK(Prices!AV27),"",Prices!AV27)</f>
        <v/>
      </c>
      <c r="AW29" s="1" t="str">
        <f>IF(ISBLANK(Prices!AW27),"",Prices!AW27)</f>
        <v/>
      </c>
      <c r="AX29" s="1" t="str">
        <f>IF(ISBLANK(Prices!AX27),"",Prices!AX27)</f>
        <v/>
      </c>
      <c r="AY29" s="1" t="str">
        <f>IF(ISBLANK(Prices!AY27),"",Prices!AY27)</f>
        <v/>
      </c>
      <c r="AZ29" s="1" t="str">
        <f>IF(ISBLANK(Prices!AZ27),"",Prices!AZ27)</f>
        <v/>
      </c>
      <c r="BA29" s="1" t="str">
        <f>IF(ISBLANK(Prices!BA27),"",Prices!BA27)</f>
        <v/>
      </c>
      <c r="BB29" s="1" t="str">
        <f>IF(ISBLANK(Prices!BB27),"",Prices!BB27)</f>
        <v/>
      </c>
      <c r="BC29" s="1" t="str">
        <f>IF(ISBLANK(Prices!BC27),"",Prices!BC27)</f>
        <v/>
      </c>
      <c r="BD29" s="1" t="str">
        <f>IF(ISBLANK(Prices!BD27),"",Prices!BD27)</f>
        <v/>
      </c>
      <c r="BE29" s="1" t="str">
        <f>IF(ISBLANK(Prices!BE27),"",Prices!BE27)</f>
        <v/>
      </c>
      <c r="BF29" s="1" t="str">
        <f>IF(ISBLANK(Prices!BF27),"",Prices!BF27)</f>
        <v/>
      </c>
      <c r="BG29" s="1" t="str">
        <f>IF(ISBLANK(Prices!BG27),"",Prices!BG27)</f>
        <v/>
      </c>
      <c r="BH29" s="1" t="str">
        <f>IF(ISBLANK(Prices!BH27),"",Prices!BH27)</f>
        <v/>
      </c>
      <c r="BI29" s="1" t="str">
        <f>IF(ISBLANK(Prices!BI27),"",Prices!BI27)</f>
        <v/>
      </c>
      <c r="BJ29" s="1" t="str">
        <f>IF(ISBLANK(Prices!BJ27),"",Prices!BJ27)</f>
        <v/>
      </c>
      <c r="BK29" s="1" t="str">
        <f>IF(ISBLANK(Prices!BK27),"",Prices!BK27)</f>
        <v/>
      </c>
      <c r="BL29" s="1" t="str">
        <f>IF(ISBLANK(Prices!BL27),"",Prices!BL27)</f>
        <v/>
      </c>
      <c r="BM29" s="1" t="str">
        <f>IF(ISBLANK(Prices!BM27),"",Prices!BM27)</f>
        <v/>
      </c>
      <c r="BN29" s="1" t="str">
        <f>IF(ISBLANK(Prices!BN27),"",Prices!BN27)</f>
        <v/>
      </c>
      <c r="BO29" s="1" t="str">
        <f>IF(ISBLANK(Prices!BO27),"",Prices!BO27)</f>
        <v/>
      </c>
      <c r="BP29" s="1" t="str">
        <f>IF(ISBLANK(Prices!BP27),"",Prices!BP27)</f>
        <v/>
      </c>
      <c r="BQ29" s="1" t="str">
        <f>IF(ISBLANK(Prices!BQ27),"",Prices!BQ27)</f>
        <v/>
      </c>
      <c r="BR29" s="1" t="str">
        <f>IF(ISBLANK(Prices!BR27),"",Prices!BR27)</f>
        <v/>
      </c>
      <c r="BS29" s="1" t="str">
        <f>IF(ISBLANK(Prices!BS27),"",Prices!BS27)</f>
        <v/>
      </c>
      <c r="BT29" s="1" t="str">
        <f>IF(ISBLANK(Prices!BT27),"",Prices!BT27)</f>
        <v/>
      </c>
      <c r="BU29" s="1" t="str">
        <f>IF(ISBLANK(Prices!BU27),"",Prices!BU27)</f>
        <v/>
      </c>
      <c r="BV29" s="1" t="str">
        <f>IF(ISBLANK(Prices!BV27),"",Prices!BV27)</f>
        <v/>
      </c>
      <c r="BW29" s="1" t="str">
        <f>IF(ISBLANK(Prices!BW27),"",Prices!BW27)</f>
        <v/>
      </c>
      <c r="BX29" s="1" t="str">
        <f>IF(ISBLANK(Prices!BX27),"",Prices!BX27)</f>
        <v/>
      </c>
      <c r="BY29" s="1" t="str">
        <f>IF(ISBLANK(Prices!BY27),"",Prices!BY27)</f>
        <v/>
      </c>
      <c r="BZ29" s="1" t="str">
        <f>IF(ISBLANK(Prices!BZ27),"",Prices!BZ27)</f>
        <v/>
      </c>
      <c r="CA29" s="1" t="str">
        <f>IF(ISBLANK(Prices!CA27),"",Prices!CA27)</f>
        <v/>
      </c>
      <c r="CB29" s="1" t="str">
        <f>IF(ISBLANK(Prices!CB27),"",Prices!CB27)</f>
        <v/>
      </c>
      <c r="CC29" s="1" t="str">
        <f>IF(ISBLANK(Prices!CC27),"",Prices!CC27)</f>
        <v/>
      </c>
      <c r="CD29" s="1" t="str">
        <f>IF(ISBLANK(Prices!CD27),"",Prices!CD27)</f>
        <v/>
      </c>
      <c r="CE29" s="1" t="str">
        <f>IF(ISBLANK(Prices!CE27),"",Prices!CE27)</f>
        <v/>
      </c>
      <c r="CF29" s="1" t="str">
        <f>IF(ISBLANK(Prices!CF27),"",Prices!CF27)</f>
        <v/>
      </c>
      <c r="CG29" s="1" t="str">
        <f>IF(ISBLANK(Prices!CG27),"",Prices!CG27)</f>
        <v/>
      </c>
      <c r="CH29" s="1" t="str">
        <f>IF(ISBLANK(Prices!CH27),"",Prices!CH27)</f>
        <v/>
      </c>
      <c r="CI29" s="1" t="str">
        <f>IF(ISBLANK(Prices!CI27),"",Prices!CI27)</f>
        <v/>
      </c>
      <c r="CJ29" s="1" t="str">
        <f>IF(ISBLANK(Prices!CJ27),"",Prices!CJ27)</f>
        <v/>
      </c>
      <c r="CK29" s="1" t="str">
        <f>IF(ISBLANK(Prices!CK27),"",Prices!CK27)</f>
        <v/>
      </c>
      <c r="CL29" s="1" t="str">
        <f>IF(ISBLANK(Prices!CL27),"",Prices!CL27)</f>
        <v/>
      </c>
      <c r="CM29" s="1" t="str">
        <f>IF(ISBLANK(Prices!CM27),"",Prices!CM27)</f>
        <v/>
      </c>
      <c r="CN29" s="1" t="str">
        <f>IF(ISBLANK(Prices!CN27),"",Prices!CN27)</f>
        <v/>
      </c>
    </row>
    <row r="30" spans="2:92" x14ac:dyDescent="0.25">
      <c r="B30" s="1" t="str">
        <f>IF(ISBLANK(Prices!A28),"",Prices!A28)</f>
        <v/>
      </c>
      <c r="C30" s="1" t="str">
        <f>IF(ISBLANK(Prices!C28),"",Prices!C28)</f>
        <v/>
      </c>
      <c r="D30" s="1" t="str">
        <f>IF(ISBLANK(Prices!D28),"",Prices!D28)</f>
        <v/>
      </c>
      <c r="E30" s="1" t="str">
        <f>IF(ISBLANK(Prices!E28),"",Prices!E28)</f>
        <v/>
      </c>
      <c r="F30" s="1" t="str">
        <f>IF(ISBLANK(Prices!F28),"",Prices!F28)</f>
        <v/>
      </c>
      <c r="G30" s="1" t="str">
        <f>IF(ISBLANK(Prices!G28),"",Prices!G28)</f>
        <v/>
      </c>
      <c r="H30" s="1" t="str">
        <f>IF(ISBLANK(Prices!H28),"",Prices!H28)</f>
        <v/>
      </c>
      <c r="I30" s="1" t="str">
        <f>IF(ISBLANK(Prices!I28),"",Prices!I28)</f>
        <v/>
      </c>
      <c r="J30" s="1" t="str">
        <f>IF(ISBLANK(Prices!J28),"",Prices!J28)</f>
        <v/>
      </c>
      <c r="K30" s="1" t="str">
        <f>IF(ISBLANK(Prices!K28),"",Prices!K28)</f>
        <v/>
      </c>
      <c r="L30" s="1" t="str">
        <f>IF(ISBLANK(Prices!L28),"",Prices!L28)</f>
        <v/>
      </c>
      <c r="M30" s="1" t="str">
        <f>IF(ISBLANK(Prices!M28),"",Prices!M28)</f>
        <v/>
      </c>
      <c r="N30" s="1" t="str">
        <f>IF(ISBLANK(Prices!N28),"",Prices!N28)</f>
        <v/>
      </c>
      <c r="O30" s="1" t="str">
        <f>IF(ISBLANK(Prices!O28),"",Prices!O28)</f>
        <v/>
      </c>
      <c r="P30" s="1" t="str">
        <f>IF(ISBLANK(Prices!P28),"",Prices!P28)</f>
        <v/>
      </c>
      <c r="Q30" s="1" t="str">
        <f>IF(ISBLANK(Prices!Q28),"",Prices!Q28)</f>
        <v/>
      </c>
      <c r="R30" s="1" t="str">
        <f>IF(ISBLANK(Prices!R28),"",Prices!R28)</f>
        <v/>
      </c>
      <c r="S30" s="1" t="str">
        <f>IF(ISBLANK(Prices!S28),"",Prices!S28)</f>
        <v/>
      </c>
      <c r="T30" s="1" t="str">
        <f>IF(ISBLANK(Prices!T28),"",Prices!T28)</f>
        <v/>
      </c>
      <c r="U30" s="1" t="str">
        <f>IF(ISBLANK(Prices!U28),"",Prices!U28)</f>
        <v/>
      </c>
      <c r="V30" s="1" t="str">
        <f>IF(ISBLANK(Prices!V28),"",Prices!V28)</f>
        <v/>
      </c>
      <c r="W30" s="1" t="str">
        <f>IF(ISBLANK(Prices!W28),"",Prices!W28)</f>
        <v/>
      </c>
      <c r="X30" s="1" t="str">
        <f>IF(ISBLANK(Prices!X28),"",Prices!X28)</f>
        <v/>
      </c>
      <c r="Y30" s="1" t="str">
        <f>IF(ISBLANK(Prices!Y28),"",Prices!Y28)</f>
        <v/>
      </c>
      <c r="Z30" s="1" t="str">
        <f>IF(ISBLANK(Prices!Z28),"",Prices!Z28)</f>
        <v/>
      </c>
      <c r="AA30" s="1" t="str">
        <f>IF(ISBLANK(Prices!AA28),"",Prices!AA28)</f>
        <v/>
      </c>
      <c r="AB30" s="1" t="str">
        <f>IF(ISBLANK(Prices!AB28),"",Prices!AB28)</f>
        <v/>
      </c>
      <c r="AC30" s="1" t="str">
        <f>IF(ISBLANK(Prices!AC28),"",Prices!AC28)</f>
        <v/>
      </c>
      <c r="AD30" s="1" t="str">
        <f>IF(ISBLANK(Prices!AD28),"",Prices!AD28)</f>
        <v/>
      </c>
      <c r="AE30" s="1" t="str">
        <f>IF(ISBLANK(Prices!AE28),"",Prices!AE28)</f>
        <v/>
      </c>
      <c r="AF30" s="1" t="str">
        <f>IF(ISBLANK(Prices!AF28),"",Prices!AF28)</f>
        <v/>
      </c>
      <c r="AG30" s="1" t="str">
        <f>IF(ISBLANK(Prices!AG28),"",Prices!AG28)</f>
        <v/>
      </c>
      <c r="AH30" s="1" t="str">
        <f>IF(ISBLANK(Prices!AH28),"",Prices!AH28)</f>
        <v/>
      </c>
      <c r="AI30" s="1" t="str">
        <f>IF(ISBLANK(Prices!AI28),"",Prices!AI28)</f>
        <v/>
      </c>
      <c r="AJ30" s="1" t="str">
        <f>IF(ISBLANK(Prices!AJ28),"",Prices!AJ28)</f>
        <v/>
      </c>
      <c r="AK30" s="1" t="str">
        <f>IF(ISBLANK(Prices!AK28),"",Prices!AK28)</f>
        <v/>
      </c>
      <c r="AL30" s="1" t="str">
        <f>IF(ISBLANK(Prices!AL28),"",Prices!AL28)</f>
        <v/>
      </c>
      <c r="AM30" s="1" t="str">
        <f>IF(ISBLANK(Prices!AM28),"",Prices!AM28)</f>
        <v/>
      </c>
      <c r="AN30" s="1" t="str">
        <f>IF(ISBLANK(Prices!AN28),"",Prices!AN28)</f>
        <v/>
      </c>
      <c r="AO30" s="1" t="str">
        <f>IF(ISBLANK(Prices!AO28),"",Prices!AO28)</f>
        <v/>
      </c>
      <c r="AP30" s="1" t="str">
        <f>IF(ISBLANK(Prices!AP28),"",Prices!AP28)</f>
        <v/>
      </c>
      <c r="AQ30" s="1" t="str">
        <f>IF(ISBLANK(Prices!AQ28),"",Prices!AQ28)</f>
        <v/>
      </c>
      <c r="AR30" s="1" t="str">
        <f>IF(ISBLANK(Prices!AR28),"",Prices!AR28)</f>
        <v/>
      </c>
      <c r="AS30" s="1" t="str">
        <f>IF(ISBLANK(Prices!AS28),"",Prices!AS28)</f>
        <v/>
      </c>
      <c r="AT30" s="1" t="str">
        <f>IF(ISBLANK(Prices!AT28),"",Prices!AT28)</f>
        <v/>
      </c>
      <c r="AU30" s="1" t="str">
        <f>IF(ISBLANK(Prices!AU28),"",Prices!AU28)</f>
        <v/>
      </c>
      <c r="AV30" s="1" t="str">
        <f>IF(ISBLANK(Prices!AV28),"",Prices!AV28)</f>
        <v/>
      </c>
      <c r="AW30" s="1" t="str">
        <f>IF(ISBLANK(Prices!AW28),"",Prices!AW28)</f>
        <v/>
      </c>
      <c r="AX30" s="1" t="str">
        <f>IF(ISBLANK(Prices!AX28),"",Prices!AX28)</f>
        <v/>
      </c>
      <c r="AY30" s="1" t="str">
        <f>IF(ISBLANK(Prices!AY28),"",Prices!AY28)</f>
        <v/>
      </c>
      <c r="AZ30" s="1" t="str">
        <f>IF(ISBLANK(Prices!AZ28),"",Prices!AZ28)</f>
        <v/>
      </c>
      <c r="BA30" s="1" t="str">
        <f>IF(ISBLANK(Prices!BA28),"",Prices!BA28)</f>
        <v/>
      </c>
      <c r="BB30" s="1" t="str">
        <f>IF(ISBLANK(Prices!BB28),"",Prices!BB28)</f>
        <v/>
      </c>
      <c r="BC30" s="1" t="str">
        <f>IF(ISBLANK(Prices!BC28),"",Prices!BC28)</f>
        <v/>
      </c>
      <c r="BD30" s="1" t="str">
        <f>IF(ISBLANK(Prices!BD28),"",Prices!BD28)</f>
        <v/>
      </c>
      <c r="BE30" s="1" t="str">
        <f>IF(ISBLANK(Prices!BE28),"",Prices!BE28)</f>
        <v/>
      </c>
      <c r="BF30" s="1" t="str">
        <f>IF(ISBLANK(Prices!BF28),"",Prices!BF28)</f>
        <v/>
      </c>
      <c r="BG30" s="1" t="str">
        <f>IF(ISBLANK(Prices!BG28),"",Prices!BG28)</f>
        <v/>
      </c>
      <c r="BH30" s="1" t="str">
        <f>IF(ISBLANK(Prices!BH28),"",Prices!BH28)</f>
        <v/>
      </c>
      <c r="BI30" s="1" t="str">
        <f>IF(ISBLANK(Prices!BI28),"",Prices!BI28)</f>
        <v/>
      </c>
      <c r="BJ30" s="1" t="str">
        <f>IF(ISBLANK(Prices!BJ28),"",Prices!BJ28)</f>
        <v/>
      </c>
      <c r="BK30" s="1" t="str">
        <f>IF(ISBLANK(Prices!BK28),"",Prices!BK28)</f>
        <v/>
      </c>
      <c r="BL30" s="1" t="str">
        <f>IF(ISBLANK(Prices!BL28),"",Prices!BL28)</f>
        <v/>
      </c>
      <c r="BM30" s="1" t="str">
        <f>IF(ISBLANK(Prices!BM28),"",Prices!BM28)</f>
        <v/>
      </c>
      <c r="BN30" s="1" t="str">
        <f>IF(ISBLANK(Prices!BN28),"",Prices!BN28)</f>
        <v/>
      </c>
      <c r="BO30" s="1" t="str">
        <f>IF(ISBLANK(Prices!BO28),"",Prices!BO28)</f>
        <v/>
      </c>
      <c r="BP30" s="1" t="str">
        <f>IF(ISBLANK(Prices!BP28),"",Prices!BP28)</f>
        <v/>
      </c>
      <c r="BQ30" s="1" t="str">
        <f>IF(ISBLANK(Prices!BQ28),"",Prices!BQ28)</f>
        <v/>
      </c>
      <c r="BR30" s="1" t="str">
        <f>IF(ISBLANK(Prices!BR28),"",Prices!BR28)</f>
        <v/>
      </c>
      <c r="BS30" s="1" t="str">
        <f>IF(ISBLANK(Prices!BS28),"",Prices!BS28)</f>
        <v/>
      </c>
      <c r="BT30" s="1" t="str">
        <f>IF(ISBLANK(Prices!BT28),"",Prices!BT28)</f>
        <v/>
      </c>
      <c r="BU30" s="1" t="str">
        <f>IF(ISBLANK(Prices!BU28),"",Prices!BU28)</f>
        <v/>
      </c>
      <c r="BV30" s="1" t="str">
        <f>IF(ISBLANK(Prices!BV28),"",Prices!BV28)</f>
        <v/>
      </c>
      <c r="BW30" s="1" t="str">
        <f>IF(ISBLANK(Prices!BW28),"",Prices!BW28)</f>
        <v/>
      </c>
      <c r="BX30" s="1" t="str">
        <f>IF(ISBLANK(Prices!BX28),"",Prices!BX28)</f>
        <v/>
      </c>
      <c r="BY30" s="1" t="str">
        <f>IF(ISBLANK(Prices!BY28),"",Prices!BY28)</f>
        <v/>
      </c>
      <c r="BZ30" s="1" t="str">
        <f>IF(ISBLANK(Prices!BZ28),"",Prices!BZ28)</f>
        <v/>
      </c>
      <c r="CA30" s="1" t="str">
        <f>IF(ISBLANK(Prices!CA28),"",Prices!CA28)</f>
        <v/>
      </c>
      <c r="CB30" s="1" t="str">
        <f>IF(ISBLANK(Prices!CB28),"",Prices!CB28)</f>
        <v/>
      </c>
      <c r="CC30" s="1" t="str">
        <f>IF(ISBLANK(Prices!CC28),"",Prices!CC28)</f>
        <v/>
      </c>
      <c r="CD30" s="1" t="str">
        <f>IF(ISBLANK(Prices!CD28),"",Prices!CD28)</f>
        <v/>
      </c>
      <c r="CE30" s="1" t="str">
        <f>IF(ISBLANK(Prices!CE28),"",Prices!CE28)</f>
        <v/>
      </c>
      <c r="CF30" s="1" t="str">
        <f>IF(ISBLANK(Prices!CF28),"",Prices!CF28)</f>
        <v/>
      </c>
      <c r="CG30" s="1" t="str">
        <f>IF(ISBLANK(Prices!CG28),"",Prices!CG28)</f>
        <v/>
      </c>
      <c r="CH30" s="1" t="str">
        <f>IF(ISBLANK(Prices!CH28),"",Prices!CH28)</f>
        <v/>
      </c>
      <c r="CI30" s="1" t="str">
        <f>IF(ISBLANK(Prices!CI28),"",Prices!CI28)</f>
        <v/>
      </c>
      <c r="CJ30" s="1" t="str">
        <f>IF(ISBLANK(Prices!CJ28),"",Prices!CJ28)</f>
        <v/>
      </c>
      <c r="CK30" s="1" t="str">
        <f>IF(ISBLANK(Prices!CK28),"",Prices!CK28)</f>
        <v/>
      </c>
      <c r="CL30" s="1" t="str">
        <f>IF(ISBLANK(Prices!CL28),"",Prices!CL28)</f>
        <v/>
      </c>
      <c r="CM30" s="1" t="str">
        <f>IF(ISBLANK(Prices!CM28),"",Prices!CM28)</f>
        <v/>
      </c>
      <c r="CN30" s="1" t="str">
        <f>IF(ISBLANK(Prices!CN28),"",Prices!CN28)</f>
        <v/>
      </c>
    </row>
    <row r="31" spans="2:92" x14ac:dyDescent="0.25">
      <c r="B31" s="1" t="str">
        <f>IF(ISBLANK(Prices!A29),"",Prices!A29)</f>
        <v/>
      </c>
      <c r="C31" s="1" t="str">
        <f>IF(ISBLANK(Prices!C29),"",Prices!C29)</f>
        <v/>
      </c>
      <c r="D31" s="1" t="str">
        <f>IF(ISBLANK(Prices!D29),"",Prices!D29)</f>
        <v/>
      </c>
      <c r="E31" s="1" t="str">
        <f>IF(ISBLANK(Prices!E29),"",Prices!E29)</f>
        <v/>
      </c>
      <c r="F31" s="1" t="str">
        <f>IF(ISBLANK(Prices!F29),"",Prices!F29)</f>
        <v/>
      </c>
      <c r="G31" s="1" t="str">
        <f>IF(ISBLANK(Prices!G29),"",Prices!G29)</f>
        <v/>
      </c>
      <c r="H31" s="1" t="str">
        <f>IF(ISBLANK(Prices!H29),"",Prices!H29)</f>
        <v/>
      </c>
      <c r="I31" s="1" t="str">
        <f>IF(ISBLANK(Prices!I29),"",Prices!I29)</f>
        <v/>
      </c>
      <c r="J31" s="1" t="str">
        <f>IF(ISBLANK(Prices!J29),"",Prices!J29)</f>
        <v/>
      </c>
      <c r="K31" s="1" t="str">
        <f>IF(ISBLANK(Prices!K29),"",Prices!K29)</f>
        <v/>
      </c>
      <c r="L31" s="1" t="str">
        <f>IF(ISBLANK(Prices!L29),"",Prices!L29)</f>
        <v/>
      </c>
      <c r="M31" s="1" t="str">
        <f>IF(ISBLANK(Prices!M29),"",Prices!M29)</f>
        <v/>
      </c>
      <c r="N31" s="1" t="str">
        <f>IF(ISBLANK(Prices!N29),"",Prices!N29)</f>
        <v/>
      </c>
      <c r="O31" s="1" t="str">
        <f>IF(ISBLANK(Prices!O29),"",Prices!O29)</f>
        <v/>
      </c>
      <c r="P31" s="1" t="str">
        <f>IF(ISBLANK(Prices!P29),"",Prices!P29)</f>
        <v/>
      </c>
      <c r="Q31" s="1" t="str">
        <f>IF(ISBLANK(Prices!Q29),"",Prices!Q29)</f>
        <v/>
      </c>
      <c r="R31" s="1" t="str">
        <f>IF(ISBLANK(Prices!R29),"",Prices!R29)</f>
        <v/>
      </c>
      <c r="S31" s="1" t="str">
        <f>IF(ISBLANK(Prices!S29),"",Prices!S29)</f>
        <v/>
      </c>
      <c r="T31" s="1" t="str">
        <f>IF(ISBLANK(Prices!T29),"",Prices!T29)</f>
        <v/>
      </c>
      <c r="U31" s="1" t="str">
        <f>IF(ISBLANK(Prices!U29),"",Prices!U29)</f>
        <v/>
      </c>
      <c r="V31" s="1" t="str">
        <f>IF(ISBLANK(Prices!V29),"",Prices!V29)</f>
        <v/>
      </c>
      <c r="W31" s="1" t="str">
        <f>IF(ISBLANK(Prices!W29),"",Prices!W29)</f>
        <v/>
      </c>
      <c r="X31" s="1" t="str">
        <f>IF(ISBLANK(Prices!X29),"",Prices!X29)</f>
        <v/>
      </c>
      <c r="Y31" s="1" t="str">
        <f>IF(ISBLANK(Prices!Y29),"",Prices!Y29)</f>
        <v/>
      </c>
      <c r="Z31" s="1" t="str">
        <f>IF(ISBLANK(Prices!Z29),"",Prices!Z29)</f>
        <v/>
      </c>
      <c r="AA31" s="1" t="str">
        <f>IF(ISBLANK(Prices!AA29),"",Prices!AA29)</f>
        <v/>
      </c>
      <c r="AB31" s="1" t="str">
        <f>IF(ISBLANK(Prices!AB29),"",Prices!AB29)</f>
        <v/>
      </c>
      <c r="AC31" s="1" t="str">
        <f>IF(ISBLANK(Prices!AC29),"",Prices!AC29)</f>
        <v/>
      </c>
      <c r="AD31" s="1" t="str">
        <f>IF(ISBLANK(Prices!AD29),"",Prices!AD29)</f>
        <v/>
      </c>
      <c r="AE31" s="1" t="str">
        <f>IF(ISBLANK(Prices!AE29),"",Prices!AE29)</f>
        <v/>
      </c>
      <c r="AF31" s="1" t="str">
        <f>IF(ISBLANK(Prices!AF29),"",Prices!AF29)</f>
        <v/>
      </c>
      <c r="AG31" s="1" t="str">
        <f>IF(ISBLANK(Prices!AG29),"",Prices!AG29)</f>
        <v/>
      </c>
      <c r="AH31" s="1" t="str">
        <f>IF(ISBLANK(Prices!AH29),"",Prices!AH29)</f>
        <v/>
      </c>
      <c r="AI31" s="1" t="str">
        <f>IF(ISBLANK(Prices!AI29),"",Prices!AI29)</f>
        <v/>
      </c>
      <c r="AJ31" s="1" t="str">
        <f>IF(ISBLANK(Prices!AJ29),"",Prices!AJ29)</f>
        <v/>
      </c>
      <c r="AK31" s="1" t="str">
        <f>IF(ISBLANK(Prices!AK29),"",Prices!AK29)</f>
        <v/>
      </c>
      <c r="AL31" s="1" t="str">
        <f>IF(ISBLANK(Prices!AL29),"",Prices!AL29)</f>
        <v/>
      </c>
      <c r="AM31" s="1" t="str">
        <f>IF(ISBLANK(Prices!AM29),"",Prices!AM29)</f>
        <v/>
      </c>
      <c r="AN31" s="1" t="str">
        <f>IF(ISBLANK(Prices!AN29),"",Prices!AN29)</f>
        <v/>
      </c>
      <c r="AO31" s="1" t="str">
        <f>IF(ISBLANK(Prices!AO29),"",Prices!AO29)</f>
        <v/>
      </c>
      <c r="AP31" s="1" t="str">
        <f>IF(ISBLANK(Prices!AP29),"",Prices!AP29)</f>
        <v/>
      </c>
      <c r="AQ31" s="1" t="str">
        <f>IF(ISBLANK(Prices!AQ29),"",Prices!AQ29)</f>
        <v/>
      </c>
      <c r="AR31" s="1" t="str">
        <f>IF(ISBLANK(Prices!AR29),"",Prices!AR29)</f>
        <v/>
      </c>
      <c r="AS31" s="1" t="str">
        <f>IF(ISBLANK(Prices!AS29),"",Prices!AS29)</f>
        <v/>
      </c>
      <c r="AT31" s="1" t="str">
        <f>IF(ISBLANK(Prices!AT29),"",Prices!AT29)</f>
        <v/>
      </c>
      <c r="AU31" s="1" t="str">
        <f>IF(ISBLANK(Prices!AU29),"",Prices!AU29)</f>
        <v/>
      </c>
      <c r="AV31" s="1" t="str">
        <f>IF(ISBLANK(Prices!AV29),"",Prices!AV29)</f>
        <v/>
      </c>
      <c r="AW31" s="1" t="str">
        <f>IF(ISBLANK(Prices!AW29),"",Prices!AW29)</f>
        <v/>
      </c>
      <c r="AX31" s="1" t="str">
        <f>IF(ISBLANK(Prices!AX29),"",Prices!AX29)</f>
        <v/>
      </c>
      <c r="AY31" s="1" t="str">
        <f>IF(ISBLANK(Prices!AY29),"",Prices!AY29)</f>
        <v/>
      </c>
      <c r="AZ31" s="1" t="str">
        <f>IF(ISBLANK(Prices!AZ29),"",Prices!AZ29)</f>
        <v/>
      </c>
      <c r="BA31" s="1" t="str">
        <f>IF(ISBLANK(Prices!BA29),"",Prices!BA29)</f>
        <v/>
      </c>
      <c r="BB31" s="1" t="str">
        <f>IF(ISBLANK(Prices!BB29),"",Prices!BB29)</f>
        <v/>
      </c>
      <c r="BC31" s="1" t="str">
        <f>IF(ISBLANK(Prices!BC29),"",Prices!BC29)</f>
        <v/>
      </c>
      <c r="BD31" s="1" t="str">
        <f>IF(ISBLANK(Prices!BD29),"",Prices!BD29)</f>
        <v/>
      </c>
      <c r="BE31" s="1" t="str">
        <f>IF(ISBLANK(Prices!BE29),"",Prices!BE29)</f>
        <v/>
      </c>
      <c r="BF31" s="1" t="str">
        <f>IF(ISBLANK(Prices!BF29),"",Prices!BF29)</f>
        <v/>
      </c>
      <c r="BG31" s="1" t="str">
        <f>IF(ISBLANK(Prices!BG29),"",Prices!BG29)</f>
        <v/>
      </c>
      <c r="BH31" s="1" t="str">
        <f>IF(ISBLANK(Prices!BH29),"",Prices!BH29)</f>
        <v/>
      </c>
      <c r="BI31" s="1" t="str">
        <f>IF(ISBLANK(Prices!BI29),"",Prices!BI29)</f>
        <v/>
      </c>
      <c r="BJ31" s="1" t="str">
        <f>IF(ISBLANK(Prices!BJ29),"",Prices!BJ29)</f>
        <v/>
      </c>
      <c r="BK31" s="1" t="str">
        <f>IF(ISBLANK(Prices!BK29),"",Prices!BK29)</f>
        <v/>
      </c>
      <c r="BL31" s="1" t="str">
        <f>IF(ISBLANK(Prices!BL29),"",Prices!BL29)</f>
        <v/>
      </c>
      <c r="BM31" s="1" t="str">
        <f>IF(ISBLANK(Prices!BM29),"",Prices!BM29)</f>
        <v/>
      </c>
      <c r="BN31" s="1" t="str">
        <f>IF(ISBLANK(Prices!BN29),"",Prices!BN29)</f>
        <v/>
      </c>
      <c r="BO31" s="1" t="str">
        <f>IF(ISBLANK(Prices!BO29),"",Prices!BO29)</f>
        <v/>
      </c>
      <c r="BP31" s="1" t="str">
        <f>IF(ISBLANK(Prices!BP29),"",Prices!BP29)</f>
        <v/>
      </c>
      <c r="BQ31" s="1" t="str">
        <f>IF(ISBLANK(Prices!BQ29),"",Prices!BQ29)</f>
        <v/>
      </c>
      <c r="BR31" s="1" t="str">
        <f>IF(ISBLANK(Prices!BR29),"",Prices!BR29)</f>
        <v/>
      </c>
      <c r="BS31" s="1" t="str">
        <f>IF(ISBLANK(Prices!BS29),"",Prices!BS29)</f>
        <v/>
      </c>
      <c r="BT31" s="1" t="str">
        <f>IF(ISBLANK(Prices!BT29),"",Prices!BT29)</f>
        <v/>
      </c>
      <c r="BU31" s="1" t="str">
        <f>IF(ISBLANK(Prices!BU29),"",Prices!BU29)</f>
        <v/>
      </c>
      <c r="BV31" s="1" t="str">
        <f>IF(ISBLANK(Prices!BV29),"",Prices!BV29)</f>
        <v/>
      </c>
      <c r="BW31" s="1" t="str">
        <f>IF(ISBLANK(Prices!BW29),"",Prices!BW29)</f>
        <v/>
      </c>
      <c r="BX31" s="1" t="str">
        <f>IF(ISBLANK(Prices!BX29),"",Prices!BX29)</f>
        <v/>
      </c>
      <c r="BY31" s="1" t="str">
        <f>IF(ISBLANK(Prices!BY29),"",Prices!BY29)</f>
        <v/>
      </c>
      <c r="BZ31" s="1" t="str">
        <f>IF(ISBLANK(Prices!BZ29),"",Prices!BZ29)</f>
        <v/>
      </c>
      <c r="CA31" s="1" t="str">
        <f>IF(ISBLANK(Prices!CA29),"",Prices!CA29)</f>
        <v/>
      </c>
      <c r="CB31" s="1" t="str">
        <f>IF(ISBLANK(Prices!CB29),"",Prices!CB29)</f>
        <v/>
      </c>
      <c r="CC31" s="1" t="str">
        <f>IF(ISBLANK(Prices!CC29),"",Prices!CC29)</f>
        <v/>
      </c>
      <c r="CD31" s="1" t="str">
        <f>IF(ISBLANK(Prices!CD29),"",Prices!CD29)</f>
        <v/>
      </c>
      <c r="CE31" s="1" t="str">
        <f>IF(ISBLANK(Prices!CE29),"",Prices!CE29)</f>
        <v/>
      </c>
      <c r="CF31" s="1" t="str">
        <f>IF(ISBLANK(Prices!CF29),"",Prices!CF29)</f>
        <v/>
      </c>
      <c r="CG31" s="1" t="str">
        <f>IF(ISBLANK(Prices!CG29),"",Prices!CG29)</f>
        <v/>
      </c>
      <c r="CH31" s="1" t="str">
        <f>IF(ISBLANK(Prices!CH29),"",Prices!CH29)</f>
        <v/>
      </c>
      <c r="CI31" s="1" t="str">
        <f>IF(ISBLANK(Prices!CI29),"",Prices!CI29)</f>
        <v/>
      </c>
      <c r="CJ31" s="1" t="str">
        <f>IF(ISBLANK(Prices!CJ29),"",Prices!CJ29)</f>
        <v/>
      </c>
      <c r="CK31" s="1" t="str">
        <f>IF(ISBLANK(Prices!CK29),"",Prices!CK29)</f>
        <v/>
      </c>
      <c r="CL31" s="1" t="str">
        <f>IF(ISBLANK(Prices!CL29),"",Prices!CL29)</f>
        <v/>
      </c>
      <c r="CM31" s="1" t="str">
        <f>IF(ISBLANK(Prices!CM29),"",Prices!CM29)</f>
        <v/>
      </c>
      <c r="CN31" s="1" t="str">
        <f>IF(ISBLANK(Prices!CN29),"",Prices!CN29)</f>
        <v/>
      </c>
    </row>
    <row r="32" spans="2:92" x14ac:dyDescent="0.25">
      <c r="B32" s="1" t="str">
        <f>IF(ISBLANK(Prices!A30),"",Prices!A30)</f>
        <v/>
      </c>
      <c r="C32" s="1" t="str">
        <f>IF(ISBLANK(Prices!C30),"",Prices!C30)</f>
        <v/>
      </c>
      <c r="D32" s="1" t="str">
        <f>IF(ISBLANK(Prices!D30),"",Prices!D30)</f>
        <v/>
      </c>
      <c r="E32" s="1" t="str">
        <f>IF(ISBLANK(Prices!E30),"",Prices!E30)</f>
        <v/>
      </c>
      <c r="F32" s="1" t="str">
        <f>IF(ISBLANK(Prices!F30),"",Prices!F30)</f>
        <v/>
      </c>
      <c r="G32" s="1" t="str">
        <f>IF(ISBLANK(Prices!G30),"",Prices!G30)</f>
        <v/>
      </c>
      <c r="H32" s="1" t="str">
        <f>IF(ISBLANK(Prices!H30),"",Prices!H30)</f>
        <v/>
      </c>
      <c r="I32" s="1" t="str">
        <f>IF(ISBLANK(Prices!I30),"",Prices!I30)</f>
        <v/>
      </c>
      <c r="J32" s="1" t="str">
        <f>IF(ISBLANK(Prices!J30),"",Prices!J30)</f>
        <v/>
      </c>
      <c r="K32" s="1" t="str">
        <f>IF(ISBLANK(Prices!K30),"",Prices!K30)</f>
        <v/>
      </c>
      <c r="L32" s="1" t="str">
        <f>IF(ISBLANK(Prices!L30),"",Prices!L30)</f>
        <v/>
      </c>
      <c r="M32" s="1" t="str">
        <f>IF(ISBLANK(Prices!M30),"",Prices!M30)</f>
        <v/>
      </c>
      <c r="N32" s="1" t="str">
        <f>IF(ISBLANK(Prices!N30),"",Prices!N30)</f>
        <v/>
      </c>
      <c r="O32" s="1" t="str">
        <f>IF(ISBLANK(Prices!O30),"",Prices!O30)</f>
        <v/>
      </c>
      <c r="P32" s="1" t="str">
        <f>IF(ISBLANK(Prices!P30),"",Prices!P30)</f>
        <v/>
      </c>
      <c r="Q32" s="1" t="str">
        <f>IF(ISBLANK(Prices!Q30),"",Prices!Q30)</f>
        <v/>
      </c>
      <c r="R32" s="1" t="str">
        <f>IF(ISBLANK(Prices!R30),"",Prices!R30)</f>
        <v/>
      </c>
      <c r="S32" s="1" t="str">
        <f>IF(ISBLANK(Prices!S30),"",Prices!S30)</f>
        <v/>
      </c>
      <c r="T32" s="1" t="str">
        <f>IF(ISBLANK(Prices!T30),"",Prices!T30)</f>
        <v/>
      </c>
      <c r="U32" s="1" t="str">
        <f>IF(ISBLANK(Prices!U30),"",Prices!U30)</f>
        <v/>
      </c>
      <c r="V32" s="1" t="str">
        <f>IF(ISBLANK(Prices!V30),"",Prices!V30)</f>
        <v/>
      </c>
      <c r="W32" s="1" t="str">
        <f>IF(ISBLANK(Prices!W30),"",Prices!W30)</f>
        <v/>
      </c>
      <c r="X32" s="1" t="str">
        <f>IF(ISBLANK(Prices!X30),"",Prices!X30)</f>
        <v/>
      </c>
      <c r="Y32" s="1" t="str">
        <f>IF(ISBLANK(Prices!Y30),"",Prices!Y30)</f>
        <v/>
      </c>
      <c r="Z32" s="1" t="str">
        <f>IF(ISBLANK(Prices!Z30),"",Prices!Z30)</f>
        <v/>
      </c>
      <c r="AA32" s="1" t="str">
        <f>IF(ISBLANK(Prices!AA30),"",Prices!AA30)</f>
        <v/>
      </c>
      <c r="AB32" s="1" t="str">
        <f>IF(ISBLANK(Prices!AB30),"",Prices!AB30)</f>
        <v/>
      </c>
      <c r="AC32" s="1" t="str">
        <f>IF(ISBLANK(Prices!AC30),"",Prices!AC30)</f>
        <v/>
      </c>
      <c r="AD32" s="1" t="str">
        <f>IF(ISBLANK(Prices!AD30),"",Prices!AD30)</f>
        <v/>
      </c>
      <c r="AE32" s="1" t="str">
        <f>IF(ISBLANK(Prices!AE30),"",Prices!AE30)</f>
        <v/>
      </c>
      <c r="AF32" s="1" t="str">
        <f>IF(ISBLANK(Prices!AF30),"",Prices!AF30)</f>
        <v/>
      </c>
      <c r="AG32" s="1" t="str">
        <f>IF(ISBLANK(Prices!AG30),"",Prices!AG30)</f>
        <v/>
      </c>
      <c r="AH32" s="1" t="str">
        <f>IF(ISBLANK(Prices!AH30),"",Prices!AH30)</f>
        <v/>
      </c>
      <c r="AI32" s="1" t="str">
        <f>IF(ISBLANK(Prices!AI30),"",Prices!AI30)</f>
        <v/>
      </c>
      <c r="AJ32" s="1" t="str">
        <f>IF(ISBLANK(Prices!AJ30),"",Prices!AJ30)</f>
        <v/>
      </c>
      <c r="AK32" s="1" t="str">
        <f>IF(ISBLANK(Prices!AK30),"",Prices!AK30)</f>
        <v/>
      </c>
      <c r="AL32" s="1" t="str">
        <f>IF(ISBLANK(Prices!AL30),"",Prices!AL30)</f>
        <v/>
      </c>
      <c r="AM32" s="1" t="str">
        <f>IF(ISBLANK(Prices!AM30),"",Prices!AM30)</f>
        <v/>
      </c>
      <c r="AN32" s="1" t="str">
        <f>IF(ISBLANK(Prices!AN30),"",Prices!AN30)</f>
        <v/>
      </c>
      <c r="AO32" s="1" t="str">
        <f>IF(ISBLANK(Prices!AO30),"",Prices!AO30)</f>
        <v/>
      </c>
      <c r="AP32" s="1" t="str">
        <f>IF(ISBLANK(Prices!AP30),"",Prices!AP30)</f>
        <v/>
      </c>
      <c r="AQ32" s="1" t="str">
        <f>IF(ISBLANK(Prices!AQ30),"",Prices!AQ30)</f>
        <v/>
      </c>
      <c r="AR32" s="1" t="str">
        <f>IF(ISBLANK(Prices!AR30),"",Prices!AR30)</f>
        <v/>
      </c>
      <c r="AS32" s="1" t="str">
        <f>IF(ISBLANK(Prices!AS30),"",Prices!AS30)</f>
        <v/>
      </c>
      <c r="AT32" s="1" t="str">
        <f>IF(ISBLANK(Prices!AT30),"",Prices!AT30)</f>
        <v/>
      </c>
      <c r="AU32" s="1" t="str">
        <f>IF(ISBLANK(Prices!AU30),"",Prices!AU30)</f>
        <v/>
      </c>
      <c r="AV32" s="1" t="str">
        <f>IF(ISBLANK(Prices!AV30),"",Prices!AV30)</f>
        <v/>
      </c>
      <c r="AW32" s="1" t="str">
        <f>IF(ISBLANK(Prices!AW30),"",Prices!AW30)</f>
        <v/>
      </c>
      <c r="AX32" s="1" t="str">
        <f>IF(ISBLANK(Prices!AX30),"",Prices!AX30)</f>
        <v/>
      </c>
      <c r="AY32" s="1" t="str">
        <f>IF(ISBLANK(Prices!AY30),"",Prices!AY30)</f>
        <v/>
      </c>
      <c r="AZ32" s="1" t="str">
        <f>IF(ISBLANK(Prices!AZ30),"",Prices!AZ30)</f>
        <v/>
      </c>
      <c r="BA32" s="1" t="str">
        <f>IF(ISBLANK(Prices!BA30),"",Prices!BA30)</f>
        <v/>
      </c>
      <c r="BB32" s="1" t="str">
        <f>IF(ISBLANK(Prices!BB30),"",Prices!BB30)</f>
        <v/>
      </c>
      <c r="BC32" s="1" t="str">
        <f>IF(ISBLANK(Prices!BC30),"",Prices!BC30)</f>
        <v/>
      </c>
      <c r="BD32" s="1" t="str">
        <f>IF(ISBLANK(Prices!BD30),"",Prices!BD30)</f>
        <v/>
      </c>
      <c r="BE32" s="1" t="str">
        <f>IF(ISBLANK(Prices!BE30),"",Prices!BE30)</f>
        <v/>
      </c>
      <c r="BF32" s="1" t="str">
        <f>IF(ISBLANK(Prices!BF30),"",Prices!BF30)</f>
        <v/>
      </c>
      <c r="BG32" s="1" t="str">
        <f>IF(ISBLANK(Prices!BG30),"",Prices!BG30)</f>
        <v/>
      </c>
      <c r="BH32" s="1" t="str">
        <f>IF(ISBLANK(Prices!BH30),"",Prices!BH30)</f>
        <v/>
      </c>
      <c r="BI32" s="1" t="str">
        <f>IF(ISBLANK(Prices!BI30),"",Prices!BI30)</f>
        <v/>
      </c>
      <c r="BJ32" s="1" t="str">
        <f>IF(ISBLANK(Prices!BJ30),"",Prices!BJ30)</f>
        <v/>
      </c>
      <c r="BK32" s="1" t="str">
        <f>IF(ISBLANK(Prices!BK30),"",Prices!BK30)</f>
        <v/>
      </c>
      <c r="BL32" s="1" t="str">
        <f>IF(ISBLANK(Prices!BL30),"",Prices!BL30)</f>
        <v/>
      </c>
      <c r="BM32" s="1" t="str">
        <f>IF(ISBLANK(Prices!BM30),"",Prices!BM30)</f>
        <v/>
      </c>
      <c r="BN32" s="1" t="str">
        <f>IF(ISBLANK(Prices!BN30),"",Prices!BN30)</f>
        <v/>
      </c>
      <c r="BO32" s="1" t="str">
        <f>IF(ISBLANK(Prices!BO30),"",Prices!BO30)</f>
        <v/>
      </c>
      <c r="BP32" s="1" t="str">
        <f>IF(ISBLANK(Prices!BP30),"",Prices!BP30)</f>
        <v/>
      </c>
      <c r="BQ32" s="1" t="str">
        <f>IF(ISBLANK(Prices!BQ30),"",Prices!BQ30)</f>
        <v/>
      </c>
      <c r="BR32" s="1" t="str">
        <f>IF(ISBLANK(Prices!BR30),"",Prices!BR30)</f>
        <v/>
      </c>
      <c r="BS32" s="1" t="str">
        <f>IF(ISBLANK(Prices!BS30),"",Prices!BS30)</f>
        <v/>
      </c>
      <c r="BT32" s="1" t="str">
        <f>IF(ISBLANK(Prices!BT30),"",Prices!BT30)</f>
        <v/>
      </c>
      <c r="BU32" s="1" t="str">
        <f>IF(ISBLANK(Prices!BU30),"",Prices!BU30)</f>
        <v/>
      </c>
      <c r="BV32" s="1" t="str">
        <f>IF(ISBLANK(Prices!BV30),"",Prices!BV30)</f>
        <v/>
      </c>
      <c r="BW32" s="1" t="str">
        <f>IF(ISBLANK(Prices!BW30),"",Prices!BW30)</f>
        <v/>
      </c>
      <c r="BX32" s="1" t="str">
        <f>IF(ISBLANK(Prices!BX30),"",Prices!BX30)</f>
        <v/>
      </c>
      <c r="BY32" s="1" t="str">
        <f>IF(ISBLANK(Prices!BY30),"",Prices!BY30)</f>
        <v/>
      </c>
      <c r="BZ32" s="1" t="str">
        <f>IF(ISBLANK(Prices!BZ30),"",Prices!BZ30)</f>
        <v/>
      </c>
      <c r="CA32" s="1" t="str">
        <f>IF(ISBLANK(Prices!CA30),"",Prices!CA30)</f>
        <v/>
      </c>
      <c r="CB32" s="1" t="str">
        <f>IF(ISBLANK(Prices!CB30),"",Prices!CB30)</f>
        <v/>
      </c>
      <c r="CC32" s="1" t="str">
        <f>IF(ISBLANK(Prices!CC30),"",Prices!CC30)</f>
        <v/>
      </c>
      <c r="CD32" s="1" t="str">
        <f>IF(ISBLANK(Prices!CD30),"",Prices!CD30)</f>
        <v/>
      </c>
      <c r="CE32" s="1" t="str">
        <f>IF(ISBLANK(Prices!CE30),"",Prices!CE30)</f>
        <v/>
      </c>
      <c r="CF32" s="1" t="str">
        <f>IF(ISBLANK(Prices!CF30),"",Prices!CF30)</f>
        <v/>
      </c>
      <c r="CG32" s="1" t="str">
        <f>IF(ISBLANK(Prices!CG30),"",Prices!CG30)</f>
        <v/>
      </c>
      <c r="CH32" s="1" t="str">
        <f>IF(ISBLANK(Prices!CH30),"",Prices!CH30)</f>
        <v/>
      </c>
      <c r="CI32" s="1" t="str">
        <f>IF(ISBLANK(Prices!CI30),"",Prices!CI30)</f>
        <v/>
      </c>
      <c r="CJ32" s="1" t="str">
        <f>IF(ISBLANK(Prices!CJ30),"",Prices!CJ30)</f>
        <v/>
      </c>
      <c r="CK32" s="1" t="str">
        <f>IF(ISBLANK(Prices!CK30),"",Prices!CK30)</f>
        <v/>
      </c>
      <c r="CL32" s="1" t="str">
        <f>IF(ISBLANK(Prices!CL30),"",Prices!CL30)</f>
        <v/>
      </c>
      <c r="CM32" s="1" t="str">
        <f>IF(ISBLANK(Prices!CM30),"",Prices!CM30)</f>
        <v/>
      </c>
      <c r="CN32" s="1" t="str">
        <f>IF(ISBLANK(Prices!CN30),"",Prices!CN30)</f>
        <v/>
      </c>
    </row>
    <row r="33" spans="2:92" x14ac:dyDescent="0.25">
      <c r="B33" s="1" t="str">
        <f>IF(ISBLANK(Prices!A31),"",Prices!A31)</f>
        <v/>
      </c>
      <c r="C33" s="1" t="str">
        <f>IF(ISBLANK(Prices!C31),"",Prices!C31)</f>
        <v/>
      </c>
      <c r="D33" s="1" t="str">
        <f>IF(ISBLANK(Prices!D31),"",Prices!D31)</f>
        <v/>
      </c>
      <c r="E33" s="1" t="str">
        <f>IF(ISBLANK(Prices!E31),"",Prices!E31)</f>
        <v/>
      </c>
      <c r="F33" s="1" t="str">
        <f>IF(ISBLANK(Prices!F31),"",Prices!F31)</f>
        <v/>
      </c>
      <c r="G33" s="1" t="str">
        <f>IF(ISBLANK(Prices!G31),"",Prices!G31)</f>
        <v/>
      </c>
      <c r="H33" s="1" t="str">
        <f>IF(ISBLANK(Prices!H31),"",Prices!H31)</f>
        <v/>
      </c>
      <c r="I33" s="1" t="str">
        <f>IF(ISBLANK(Prices!I31),"",Prices!I31)</f>
        <v/>
      </c>
      <c r="J33" s="1" t="str">
        <f>IF(ISBLANK(Prices!J31),"",Prices!J31)</f>
        <v/>
      </c>
      <c r="K33" s="1" t="str">
        <f>IF(ISBLANK(Prices!K31),"",Prices!K31)</f>
        <v/>
      </c>
      <c r="L33" s="1" t="str">
        <f>IF(ISBLANK(Prices!L31),"",Prices!L31)</f>
        <v/>
      </c>
      <c r="M33" s="1" t="str">
        <f>IF(ISBLANK(Prices!M31),"",Prices!M31)</f>
        <v/>
      </c>
      <c r="N33" s="1" t="str">
        <f>IF(ISBLANK(Prices!N31),"",Prices!N31)</f>
        <v/>
      </c>
      <c r="O33" s="1" t="str">
        <f>IF(ISBLANK(Prices!O31),"",Prices!O31)</f>
        <v/>
      </c>
      <c r="P33" s="1" t="str">
        <f>IF(ISBLANK(Prices!P31),"",Prices!P31)</f>
        <v/>
      </c>
      <c r="Q33" s="1" t="str">
        <f>IF(ISBLANK(Prices!Q31),"",Prices!Q31)</f>
        <v/>
      </c>
      <c r="R33" s="1" t="str">
        <f>IF(ISBLANK(Prices!R31),"",Prices!R31)</f>
        <v/>
      </c>
      <c r="S33" s="1" t="str">
        <f>IF(ISBLANK(Prices!S31),"",Prices!S31)</f>
        <v/>
      </c>
      <c r="T33" s="1" t="str">
        <f>IF(ISBLANK(Prices!T31),"",Prices!T31)</f>
        <v/>
      </c>
      <c r="U33" s="1" t="str">
        <f>IF(ISBLANK(Prices!U31),"",Prices!U31)</f>
        <v/>
      </c>
      <c r="V33" s="1" t="str">
        <f>IF(ISBLANK(Prices!V31),"",Prices!V31)</f>
        <v/>
      </c>
      <c r="W33" s="1" t="str">
        <f>IF(ISBLANK(Prices!W31),"",Prices!W31)</f>
        <v/>
      </c>
      <c r="X33" s="1" t="str">
        <f>IF(ISBLANK(Prices!X31),"",Prices!X31)</f>
        <v/>
      </c>
      <c r="Y33" s="1" t="str">
        <f>IF(ISBLANK(Prices!Y31),"",Prices!Y31)</f>
        <v/>
      </c>
      <c r="Z33" s="1" t="str">
        <f>IF(ISBLANK(Prices!Z31),"",Prices!Z31)</f>
        <v/>
      </c>
      <c r="AA33" s="1" t="str">
        <f>IF(ISBLANK(Prices!AA31),"",Prices!AA31)</f>
        <v/>
      </c>
      <c r="AB33" s="1" t="str">
        <f>IF(ISBLANK(Prices!AB31),"",Prices!AB31)</f>
        <v/>
      </c>
      <c r="AC33" s="1" t="str">
        <f>IF(ISBLANK(Prices!AC31),"",Prices!AC31)</f>
        <v/>
      </c>
      <c r="AD33" s="1" t="str">
        <f>IF(ISBLANK(Prices!AD31),"",Prices!AD31)</f>
        <v/>
      </c>
      <c r="AE33" s="1" t="str">
        <f>IF(ISBLANK(Prices!AE31),"",Prices!AE31)</f>
        <v/>
      </c>
      <c r="AF33" s="1" t="str">
        <f>IF(ISBLANK(Prices!AF31),"",Prices!AF31)</f>
        <v/>
      </c>
      <c r="AG33" s="1" t="str">
        <f>IF(ISBLANK(Prices!AG31),"",Prices!AG31)</f>
        <v/>
      </c>
      <c r="AH33" s="1" t="str">
        <f>IF(ISBLANK(Prices!AH31),"",Prices!AH31)</f>
        <v/>
      </c>
      <c r="AI33" s="1" t="str">
        <f>IF(ISBLANK(Prices!AI31),"",Prices!AI31)</f>
        <v/>
      </c>
      <c r="AJ33" s="1" t="str">
        <f>IF(ISBLANK(Prices!AJ31),"",Prices!AJ31)</f>
        <v/>
      </c>
      <c r="AK33" s="1" t="str">
        <f>IF(ISBLANK(Prices!AK31),"",Prices!AK31)</f>
        <v/>
      </c>
      <c r="AL33" s="1" t="str">
        <f>IF(ISBLANK(Prices!AL31),"",Prices!AL31)</f>
        <v/>
      </c>
      <c r="AM33" s="1" t="str">
        <f>IF(ISBLANK(Prices!AM31),"",Prices!AM31)</f>
        <v/>
      </c>
      <c r="AN33" s="1" t="str">
        <f>IF(ISBLANK(Prices!AN31),"",Prices!AN31)</f>
        <v/>
      </c>
      <c r="AO33" s="1" t="str">
        <f>IF(ISBLANK(Prices!AO31),"",Prices!AO31)</f>
        <v/>
      </c>
      <c r="AP33" s="1" t="str">
        <f>IF(ISBLANK(Prices!AP31),"",Prices!AP31)</f>
        <v/>
      </c>
      <c r="AQ33" s="1" t="str">
        <f>IF(ISBLANK(Prices!AQ31),"",Prices!AQ31)</f>
        <v/>
      </c>
      <c r="AR33" s="1" t="str">
        <f>IF(ISBLANK(Prices!AR31),"",Prices!AR31)</f>
        <v/>
      </c>
      <c r="AS33" s="1" t="str">
        <f>IF(ISBLANK(Prices!AS31),"",Prices!AS31)</f>
        <v/>
      </c>
      <c r="AT33" s="1" t="str">
        <f>IF(ISBLANK(Prices!AT31),"",Prices!AT31)</f>
        <v/>
      </c>
      <c r="AU33" s="1" t="str">
        <f>IF(ISBLANK(Prices!AU31),"",Prices!AU31)</f>
        <v/>
      </c>
      <c r="AV33" s="1" t="str">
        <f>IF(ISBLANK(Prices!AV31),"",Prices!AV31)</f>
        <v/>
      </c>
      <c r="AW33" s="1" t="str">
        <f>IF(ISBLANK(Prices!AW31),"",Prices!AW31)</f>
        <v/>
      </c>
      <c r="AX33" s="1" t="str">
        <f>IF(ISBLANK(Prices!AX31),"",Prices!AX31)</f>
        <v/>
      </c>
      <c r="AY33" s="1" t="str">
        <f>IF(ISBLANK(Prices!AY31),"",Prices!AY31)</f>
        <v/>
      </c>
      <c r="AZ33" s="1" t="str">
        <f>IF(ISBLANK(Prices!AZ31),"",Prices!AZ31)</f>
        <v/>
      </c>
      <c r="BA33" s="1" t="str">
        <f>IF(ISBLANK(Prices!BA31),"",Prices!BA31)</f>
        <v/>
      </c>
      <c r="BB33" s="1" t="str">
        <f>IF(ISBLANK(Prices!BB31),"",Prices!BB31)</f>
        <v/>
      </c>
      <c r="BC33" s="1" t="str">
        <f>IF(ISBLANK(Prices!BC31),"",Prices!BC31)</f>
        <v/>
      </c>
      <c r="BD33" s="1" t="str">
        <f>IF(ISBLANK(Prices!BD31),"",Prices!BD31)</f>
        <v/>
      </c>
      <c r="BE33" s="1" t="str">
        <f>IF(ISBLANK(Prices!BE31),"",Prices!BE31)</f>
        <v/>
      </c>
      <c r="BF33" s="1" t="str">
        <f>IF(ISBLANK(Prices!BF31),"",Prices!BF31)</f>
        <v/>
      </c>
      <c r="BG33" s="1" t="str">
        <f>IF(ISBLANK(Prices!BG31),"",Prices!BG31)</f>
        <v/>
      </c>
      <c r="BH33" s="1" t="str">
        <f>IF(ISBLANK(Prices!BH31),"",Prices!BH31)</f>
        <v/>
      </c>
      <c r="BI33" s="1" t="str">
        <f>IF(ISBLANK(Prices!BI31),"",Prices!BI31)</f>
        <v/>
      </c>
      <c r="BJ33" s="1" t="str">
        <f>IF(ISBLANK(Prices!BJ31),"",Prices!BJ31)</f>
        <v/>
      </c>
      <c r="BK33" s="1" t="str">
        <f>IF(ISBLANK(Prices!BK31),"",Prices!BK31)</f>
        <v/>
      </c>
      <c r="BL33" s="1" t="str">
        <f>IF(ISBLANK(Prices!BL31),"",Prices!BL31)</f>
        <v/>
      </c>
      <c r="BM33" s="1" t="str">
        <f>IF(ISBLANK(Prices!BM31),"",Prices!BM31)</f>
        <v/>
      </c>
      <c r="BN33" s="1" t="str">
        <f>IF(ISBLANK(Prices!BN31),"",Prices!BN31)</f>
        <v/>
      </c>
      <c r="BO33" s="1" t="str">
        <f>IF(ISBLANK(Prices!BO31),"",Prices!BO31)</f>
        <v/>
      </c>
      <c r="BP33" s="1" t="str">
        <f>IF(ISBLANK(Prices!BP31),"",Prices!BP31)</f>
        <v/>
      </c>
      <c r="BQ33" s="1" t="str">
        <f>IF(ISBLANK(Prices!BQ31),"",Prices!BQ31)</f>
        <v/>
      </c>
      <c r="BR33" s="1" t="str">
        <f>IF(ISBLANK(Prices!BR31),"",Prices!BR31)</f>
        <v/>
      </c>
      <c r="BS33" s="1" t="str">
        <f>IF(ISBLANK(Prices!BS31),"",Prices!BS31)</f>
        <v/>
      </c>
      <c r="BT33" s="1" t="str">
        <f>IF(ISBLANK(Prices!BT31),"",Prices!BT31)</f>
        <v/>
      </c>
      <c r="BU33" s="1" t="str">
        <f>IF(ISBLANK(Prices!BU31),"",Prices!BU31)</f>
        <v/>
      </c>
      <c r="BV33" s="1" t="str">
        <f>IF(ISBLANK(Prices!BV31),"",Prices!BV31)</f>
        <v/>
      </c>
      <c r="BW33" s="1" t="str">
        <f>IF(ISBLANK(Prices!BW31),"",Prices!BW31)</f>
        <v/>
      </c>
      <c r="BX33" s="1" t="str">
        <f>IF(ISBLANK(Prices!BX31),"",Prices!BX31)</f>
        <v/>
      </c>
      <c r="BY33" s="1" t="str">
        <f>IF(ISBLANK(Prices!BY31),"",Prices!BY31)</f>
        <v/>
      </c>
      <c r="BZ33" s="1" t="str">
        <f>IF(ISBLANK(Prices!BZ31),"",Prices!BZ31)</f>
        <v/>
      </c>
      <c r="CA33" s="1" t="str">
        <f>IF(ISBLANK(Prices!CA31),"",Prices!CA31)</f>
        <v/>
      </c>
      <c r="CB33" s="1" t="str">
        <f>IF(ISBLANK(Prices!CB31),"",Prices!CB31)</f>
        <v/>
      </c>
      <c r="CC33" s="1" t="str">
        <f>IF(ISBLANK(Prices!CC31),"",Prices!CC31)</f>
        <v/>
      </c>
      <c r="CD33" s="1" t="str">
        <f>IF(ISBLANK(Prices!CD31),"",Prices!CD31)</f>
        <v/>
      </c>
      <c r="CE33" s="1" t="str">
        <f>IF(ISBLANK(Prices!CE31),"",Prices!CE31)</f>
        <v/>
      </c>
      <c r="CF33" s="1" t="str">
        <f>IF(ISBLANK(Prices!CF31),"",Prices!CF31)</f>
        <v/>
      </c>
      <c r="CG33" s="1" t="str">
        <f>IF(ISBLANK(Prices!CG31),"",Prices!CG31)</f>
        <v/>
      </c>
      <c r="CH33" s="1" t="str">
        <f>IF(ISBLANK(Prices!CH31),"",Prices!CH31)</f>
        <v/>
      </c>
      <c r="CI33" s="1" t="str">
        <f>IF(ISBLANK(Prices!CI31),"",Prices!CI31)</f>
        <v/>
      </c>
      <c r="CJ33" s="1" t="str">
        <f>IF(ISBLANK(Prices!CJ31),"",Prices!CJ31)</f>
        <v/>
      </c>
      <c r="CK33" s="1" t="str">
        <f>IF(ISBLANK(Prices!CK31),"",Prices!CK31)</f>
        <v/>
      </c>
      <c r="CL33" s="1" t="str">
        <f>IF(ISBLANK(Prices!CL31),"",Prices!CL31)</f>
        <v/>
      </c>
      <c r="CM33" s="1" t="str">
        <f>IF(ISBLANK(Prices!CM31),"",Prices!CM31)</f>
        <v/>
      </c>
      <c r="CN33" s="1" t="str">
        <f>IF(ISBLANK(Prices!CN31),"",Prices!CN31)</f>
        <v/>
      </c>
    </row>
    <row r="34" spans="2:92" x14ac:dyDescent="0.25">
      <c r="B34" s="1" t="str">
        <f>IF(ISBLANK(Prices!A32),"",Prices!A32)</f>
        <v/>
      </c>
      <c r="C34" s="1" t="str">
        <f>IF(ISBLANK(Prices!C32),"",Prices!C32)</f>
        <v/>
      </c>
      <c r="D34" s="1" t="str">
        <f>IF(ISBLANK(Prices!D32),"",Prices!D32)</f>
        <v/>
      </c>
      <c r="E34" s="1" t="str">
        <f>IF(ISBLANK(Prices!E32),"",Prices!E32)</f>
        <v/>
      </c>
      <c r="F34" s="1" t="str">
        <f>IF(ISBLANK(Prices!F32),"",Prices!F32)</f>
        <v/>
      </c>
      <c r="G34" s="1" t="str">
        <f>IF(ISBLANK(Prices!G32),"",Prices!G32)</f>
        <v/>
      </c>
      <c r="H34" s="1" t="str">
        <f>IF(ISBLANK(Prices!H32),"",Prices!H32)</f>
        <v/>
      </c>
      <c r="I34" s="1" t="str">
        <f>IF(ISBLANK(Prices!I32),"",Prices!I32)</f>
        <v/>
      </c>
      <c r="J34" s="1" t="str">
        <f>IF(ISBLANK(Prices!J32),"",Prices!J32)</f>
        <v/>
      </c>
      <c r="K34" s="1" t="str">
        <f>IF(ISBLANK(Prices!K32),"",Prices!K32)</f>
        <v/>
      </c>
      <c r="L34" s="1" t="str">
        <f>IF(ISBLANK(Prices!L32),"",Prices!L32)</f>
        <v/>
      </c>
      <c r="M34" s="1" t="str">
        <f>IF(ISBLANK(Prices!M32),"",Prices!M32)</f>
        <v/>
      </c>
      <c r="N34" s="1" t="str">
        <f>IF(ISBLANK(Prices!N32),"",Prices!N32)</f>
        <v/>
      </c>
      <c r="O34" s="1" t="str">
        <f>IF(ISBLANK(Prices!O32),"",Prices!O32)</f>
        <v/>
      </c>
      <c r="P34" s="1" t="str">
        <f>IF(ISBLANK(Prices!P32),"",Prices!P32)</f>
        <v/>
      </c>
      <c r="Q34" s="1" t="str">
        <f>IF(ISBLANK(Prices!Q32),"",Prices!Q32)</f>
        <v/>
      </c>
      <c r="R34" s="1" t="str">
        <f>IF(ISBLANK(Prices!R32),"",Prices!R32)</f>
        <v/>
      </c>
      <c r="S34" s="1" t="str">
        <f>IF(ISBLANK(Prices!S32),"",Prices!S32)</f>
        <v/>
      </c>
      <c r="T34" s="1" t="str">
        <f>IF(ISBLANK(Prices!T32),"",Prices!T32)</f>
        <v/>
      </c>
      <c r="U34" s="1" t="str">
        <f>IF(ISBLANK(Prices!U32),"",Prices!U32)</f>
        <v/>
      </c>
      <c r="V34" s="1" t="str">
        <f>IF(ISBLANK(Prices!V32),"",Prices!V32)</f>
        <v/>
      </c>
      <c r="W34" s="1" t="str">
        <f>IF(ISBLANK(Prices!W32),"",Prices!W32)</f>
        <v/>
      </c>
      <c r="X34" s="1" t="str">
        <f>IF(ISBLANK(Prices!X32),"",Prices!X32)</f>
        <v/>
      </c>
      <c r="Y34" s="1" t="str">
        <f>IF(ISBLANK(Prices!Y32),"",Prices!Y32)</f>
        <v/>
      </c>
      <c r="Z34" s="1" t="str">
        <f>IF(ISBLANK(Prices!Z32),"",Prices!Z32)</f>
        <v/>
      </c>
      <c r="AA34" s="1" t="str">
        <f>IF(ISBLANK(Prices!AA32),"",Prices!AA32)</f>
        <v/>
      </c>
      <c r="AB34" s="1" t="str">
        <f>IF(ISBLANK(Prices!AB32),"",Prices!AB32)</f>
        <v/>
      </c>
      <c r="AC34" s="1" t="str">
        <f>IF(ISBLANK(Prices!AC32),"",Prices!AC32)</f>
        <v/>
      </c>
      <c r="AD34" s="1" t="str">
        <f>IF(ISBLANK(Prices!AD32),"",Prices!AD32)</f>
        <v/>
      </c>
      <c r="AE34" s="1" t="str">
        <f>IF(ISBLANK(Prices!AE32),"",Prices!AE32)</f>
        <v/>
      </c>
      <c r="AF34" s="1" t="str">
        <f>IF(ISBLANK(Prices!AF32),"",Prices!AF32)</f>
        <v/>
      </c>
      <c r="AG34" s="1" t="str">
        <f>IF(ISBLANK(Prices!AG32),"",Prices!AG32)</f>
        <v/>
      </c>
      <c r="AH34" s="1" t="str">
        <f>IF(ISBLANK(Prices!AH32),"",Prices!AH32)</f>
        <v/>
      </c>
      <c r="AI34" s="1" t="str">
        <f>IF(ISBLANK(Prices!AI32),"",Prices!AI32)</f>
        <v/>
      </c>
      <c r="AJ34" s="1" t="str">
        <f>IF(ISBLANK(Prices!AJ32),"",Prices!AJ32)</f>
        <v/>
      </c>
      <c r="AK34" s="1" t="str">
        <f>IF(ISBLANK(Prices!AK32),"",Prices!AK32)</f>
        <v/>
      </c>
      <c r="AL34" s="1" t="str">
        <f>IF(ISBLANK(Prices!AL32),"",Prices!AL32)</f>
        <v/>
      </c>
      <c r="AM34" s="1" t="str">
        <f>IF(ISBLANK(Prices!AM32),"",Prices!AM32)</f>
        <v/>
      </c>
      <c r="AN34" s="1" t="str">
        <f>IF(ISBLANK(Prices!AN32),"",Prices!AN32)</f>
        <v/>
      </c>
      <c r="AO34" s="1" t="str">
        <f>IF(ISBLANK(Prices!AO32),"",Prices!AO32)</f>
        <v/>
      </c>
      <c r="AP34" s="1" t="str">
        <f>IF(ISBLANK(Prices!AP32),"",Prices!AP32)</f>
        <v/>
      </c>
      <c r="AQ34" s="1" t="str">
        <f>IF(ISBLANK(Prices!AQ32),"",Prices!AQ32)</f>
        <v/>
      </c>
      <c r="AR34" s="1" t="str">
        <f>IF(ISBLANK(Prices!AR32),"",Prices!AR32)</f>
        <v/>
      </c>
      <c r="AS34" s="1" t="str">
        <f>IF(ISBLANK(Prices!AS32),"",Prices!AS32)</f>
        <v/>
      </c>
      <c r="AT34" s="1" t="str">
        <f>IF(ISBLANK(Prices!AT32),"",Prices!AT32)</f>
        <v/>
      </c>
      <c r="AU34" s="1" t="str">
        <f>IF(ISBLANK(Prices!AU32),"",Prices!AU32)</f>
        <v/>
      </c>
      <c r="AV34" s="1" t="str">
        <f>IF(ISBLANK(Prices!AV32),"",Prices!AV32)</f>
        <v/>
      </c>
      <c r="AW34" s="1" t="str">
        <f>IF(ISBLANK(Prices!AW32),"",Prices!AW32)</f>
        <v/>
      </c>
      <c r="AX34" s="1" t="str">
        <f>IF(ISBLANK(Prices!AX32),"",Prices!AX32)</f>
        <v/>
      </c>
      <c r="AY34" s="1" t="str">
        <f>IF(ISBLANK(Prices!AY32),"",Prices!AY32)</f>
        <v/>
      </c>
      <c r="AZ34" s="1" t="str">
        <f>IF(ISBLANK(Prices!AZ32),"",Prices!AZ32)</f>
        <v/>
      </c>
      <c r="BA34" s="1" t="str">
        <f>IF(ISBLANK(Prices!BA32),"",Prices!BA32)</f>
        <v/>
      </c>
      <c r="BB34" s="1" t="str">
        <f>IF(ISBLANK(Prices!BB32),"",Prices!BB32)</f>
        <v/>
      </c>
      <c r="BC34" s="1" t="str">
        <f>IF(ISBLANK(Prices!BC32),"",Prices!BC32)</f>
        <v/>
      </c>
      <c r="BD34" s="1" t="str">
        <f>IF(ISBLANK(Prices!BD32),"",Prices!BD32)</f>
        <v/>
      </c>
      <c r="BE34" s="1" t="str">
        <f>IF(ISBLANK(Prices!BE32),"",Prices!BE32)</f>
        <v/>
      </c>
      <c r="BF34" s="1" t="str">
        <f>IF(ISBLANK(Prices!BF32),"",Prices!BF32)</f>
        <v/>
      </c>
      <c r="BG34" s="1" t="str">
        <f>IF(ISBLANK(Prices!BG32),"",Prices!BG32)</f>
        <v/>
      </c>
      <c r="BH34" s="1" t="str">
        <f>IF(ISBLANK(Prices!BH32),"",Prices!BH32)</f>
        <v/>
      </c>
      <c r="BI34" s="1" t="str">
        <f>IF(ISBLANK(Prices!BI32),"",Prices!BI32)</f>
        <v/>
      </c>
      <c r="BJ34" s="1" t="str">
        <f>IF(ISBLANK(Prices!BJ32),"",Prices!BJ32)</f>
        <v/>
      </c>
      <c r="BK34" s="1" t="str">
        <f>IF(ISBLANK(Prices!BK32),"",Prices!BK32)</f>
        <v/>
      </c>
      <c r="BL34" s="1" t="str">
        <f>IF(ISBLANK(Prices!BL32),"",Prices!BL32)</f>
        <v/>
      </c>
      <c r="BM34" s="1" t="str">
        <f>IF(ISBLANK(Prices!BM32),"",Prices!BM32)</f>
        <v/>
      </c>
      <c r="BN34" s="1" t="str">
        <f>IF(ISBLANK(Prices!BN32),"",Prices!BN32)</f>
        <v/>
      </c>
      <c r="BO34" s="1" t="str">
        <f>IF(ISBLANK(Prices!BO32),"",Prices!BO32)</f>
        <v/>
      </c>
      <c r="BP34" s="1" t="str">
        <f>IF(ISBLANK(Prices!BP32),"",Prices!BP32)</f>
        <v/>
      </c>
      <c r="BQ34" s="1" t="str">
        <f>IF(ISBLANK(Prices!BQ32),"",Prices!BQ32)</f>
        <v/>
      </c>
      <c r="BR34" s="1" t="str">
        <f>IF(ISBLANK(Prices!BR32),"",Prices!BR32)</f>
        <v/>
      </c>
      <c r="BS34" s="1" t="str">
        <f>IF(ISBLANK(Prices!BS32),"",Prices!BS32)</f>
        <v/>
      </c>
      <c r="BT34" s="1" t="str">
        <f>IF(ISBLANK(Prices!BT32),"",Prices!BT32)</f>
        <v/>
      </c>
      <c r="BU34" s="1" t="str">
        <f>IF(ISBLANK(Prices!BU32),"",Prices!BU32)</f>
        <v/>
      </c>
      <c r="BV34" s="1" t="str">
        <f>IF(ISBLANK(Prices!BV32),"",Prices!BV32)</f>
        <v/>
      </c>
      <c r="BW34" s="1" t="str">
        <f>IF(ISBLANK(Prices!BW32),"",Prices!BW32)</f>
        <v/>
      </c>
      <c r="BX34" s="1" t="str">
        <f>IF(ISBLANK(Prices!BX32),"",Prices!BX32)</f>
        <v/>
      </c>
      <c r="BY34" s="1" t="str">
        <f>IF(ISBLANK(Prices!BY32),"",Prices!BY32)</f>
        <v/>
      </c>
      <c r="BZ34" s="1" t="str">
        <f>IF(ISBLANK(Prices!BZ32),"",Prices!BZ32)</f>
        <v/>
      </c>
      <c r="CA34" s="1" t="str">
        <f>IF(ISBLANK(Prices!CA32),"",Prices!CA32)</f>
        <v/>
      </c>
      <c r="CB34" s="1" t="str">
        <f>IF(ISBLANK(Prices!CB32),"",Prices!CB32)</f>
        <v/>
      </c>
      <c r="CC34" s="1" t="str">
        <f>IF(ISBLANK(Prices!CC32),"",Prices!CC32)</f>
        <v/>
      </c>
      <c r="CD34" s="1" t="str">
        <f>IF(ISBLANK(Prices!CD32),"",Prices!CD32)</f>
        <v/>
      </c>
      <c r="CE34" s="1" t="str">
        <f>IF(ISBLANK(Prices!CE32),"",Prices!CE32)</f>
        <v/>
      </c>
      <c r="CF34" s="1" t="str">
        <f>IF(ISBLANK(Prices!CF32),"",Prices!CF32)</f>
        <v/>
      </c>
      <c r="CG34" s="1" t="str">
        <f>IF(ISBLANK(Prices!CG32),"",Prices!CG32)</f>
        <v/>
      </c>
      <c r="CH34" s="1" t="str">
        <f>IF(ISBLANK(Prices!CH32),"",Prices!CH32)</f>
        <v/>
      </c>
      <c r="CI34" s="1" t="str">
        <f>IF(ISBLANK(Prices!CI32),"",Prices!CI32)</f>
        <v/>
      </c>
      <c r="CJ34" s="1" t="str">
        <f>IF(ISBLANK(Prices!CJ32),"",Prices!CJ32)</f>
        <v/>
      </c>
      <c r="CK34" s="1" t="str">
        <f>IF(ISBLANK(Prices!CK32),"",Prices!CK32)</f>
        <v/>
      </c>
      <c r="CL34" s="1" t="str">
        <f>IF(ISBLANK(Prices!CL32),"",Prices!CL32)</f>
        <v/>
      </c>
      <c r="CM34" s="1" t="str">
        <f>IF(ISBLANK(Prices!CM32),"",Prices!CM32)</f>
        <v/>
      </c>
      <c r="CN34" s="1" t="str">
        <f>IF(ISBLANK(Prices!CN32),"",Prices!CN32)</f>
        <v/>
      </c>
    </row>
    <row r="35" spans="2:92" x14ac:dyDescent="0.25">
      <c r="B35" s="1" t="str">
        <f>IF(ISBLANK(Prices!A33),"",Prices!A33)</f>
        <v/>
      </c>
      <c r="C35" s="1" t="str">
        <f>IF(ISBLANK(Prices!C33),"",Prices!C33)</f>
        <v/>
      </c>
      <c r="D35" s="1" t="str">
        <f>IF(ISBLANK(Prices!D33),"",Prices!D33)</f>
        <v/>
      </c>
      <c r="E35" s="1" t="str">
        <f>IF(ISBLANK(Prices!E33),"",Prices!E33)</f>
        <v/>
      </c>
      <c r="F35" s="1" t="str">
        <f>IF(ISBLANK(Prices!F33),"",Prices!F33)</f>
        <v/>
      </c>
      <c r="G35" s="1" t="str">
        <f>IF(ISBLANK(Prices!G33),"",Prices!G33)</f>
        <v/>
      </c>
      <c r="H35" s="1" t="str">
        <f>IF(ISBLANK(Prices!H33),"",Prices!H33)</f>
        <v/>
      </c>
      <c r="I35" s="1" t="str">
        <f>IF(ISBLANK(Prices!I33),"",Prices!I33)</f>
        <v/>
      </c>
      <c r="J35" s="1" t="str">
        <f>IF(ISBLANK(Prices!J33),"",Prices!J33)</f>
        <v/>
      </c>
      <c r="K35" s="1" t="str">
        <f>IF(ISBLANK(Prices!K33),"",Prices!K33)</f>
        <v/>
      </c>
      <c r="L35" s="1" t="str">
        <f>IF(ISBLANK(Prices!L33),"",Prices!L33)</f>
        <v/>
      </c>
      <c r="M35" s="1" t="str">
        <f>IF(ISBLANK(Prices!M33),"",Prices!M33)</f>
        <v/>
      </c>
      <c r="N35" s="1" t="str">
        <f>IF(ISBLANK(Prices!N33),"",Prices!N33)</f>
        <v/>
      </c>
      <c r="O35" s="1" t="str">
        <f>IF(ISBLANK(Prices!O33),"",Prices!O33)</f>
        <v/>
      </c>
      <c r="P35" s="1" t="str">
        <f>IF(ISBLANK(Prices!P33),"",Prices!P33)</f>
        <v/>
      </c>
      <c r="Q35" s="1" t="str">
        <f>IF(ISBLANK(Prices!Q33),"",Prices!Q33)</f>
        <v/>
      </c>
      <c r="R35" s="1" t="str">
        <f>IF(ISBLANK(Prices!R33),"",Prices!R33)</f>
        <v/>
      </c>
      <c r="S35" s="1" t="str">
        <f>IF(ISBLANK(Prices!S33),"",Prices!S33)</f>
        <v/>
      </c>
      <c r="T35" s="1" t="str">
        <f>IF(ISBLANK(Prices!T33),"",Prices!T33)</f>
        <v/>
      </c>
      <c r="U35" s="1" t="str">
        <f>IF(ISBLANK(Prices!U33),"",Prices!U33)</f>
        <v/>
      </c>
      <c r="V35" s="1" t="str">
        <f>IF(ISBLANK(Prices!V33),"",Prices!V33)</f>
        <v/>
      </c>
      <c r="W35" s="1" t="str">
        <f>IF(ISBLANK(Prices!W33),"",Prices!W33)</f>
        <v/>
      </c>
      <c r="X35" s="1" t="str">
        <f>IF(ISBLANK(Prices!X33),"",Prices!X33)</f>
        <v/>
      </c>
      <c r="Y35" s="1" t="str">
        <f>IF(ISBLANK(Prices!Y33),"",Prices!Y33)</f>
        <v/>
      </c>
      <c r="Z35" s="1" t="str">
        <f>IF(ISBLANK(Prices!Z33),"",Prices!Z33)</f>
        <v/>
      </c>
      <c r="AA35" s="1" t="str">
        <f>IF(ISBLANK(Prices!AA33),"",Prices!AA33)</f>
        <v/>
      </c>
      <c r="AB35" s="1" t="str">
        <f>IF(ISBLANK(Prices!AB33),"",Prices!AB33)</f>
        <v/>
      </c>
      <c r="AC35" s="1" t="str">
        <f>IF(ISBLANK(Prices!AC33),"",Prices!AC33)</f>
        <v/>
      </c>
      <c r="AD35" s="1" t="str">
        <f>IF(ISBLANK(Prices!AD33),"",Prices!AD33)</f>
        <v/>
      </c>
      <c r="AE35" s="1" t="str">
        <f>IF(ISBLANK(Prices!AE33),"",Prices!AE33)</f>
        <v/>
      </c>
      <c r="AF35" s="1" t="str">
        <f>IF(ISBLANK(Prices!AF33),"",Prices!AF33)</f>
        <v/>
      </c>
      <c r="AG35" s="1" t="str">
        <f>IF(ISBLANK(Prices!AG33),"",Prices!AG33)</f>
        <v/>
      </c>
      <c r="AH35" s="1" t="str">
        <f>IF(ISBLANK(Prices!AH33),"",Prices!AH33)</f>
        <v/>
      </c>
      <c r="AI35" s="1" t="str">
        <f>IF(ISBLANK(Prices!AI33),"",Prices!AI33)</f>
        <v/>
      </c>
      <c r="AJ35" s="1" t="str">
        <f>IF(ISBLANK(Prices!AJ33),"",Prices!AJ33)</f>
        <v/>
      </c>
      <c r="AK35" s="1" t="str">
        <f>IF(ISBLANK(Prices!AK33),"",Prices!AK33)</f>
        <v/>
      </c>
      <c r="AL35" s="1" t="str">
        <f>IF(ISBLANK(Prices!AL33),"",Prices!AL33)</f>
        <v/>
      </c>
      <c r="AM35" s="1" t="str">
        <f>IF(ISBLANK(Prices!AM33),"",Prices!AM33)</f>
        <v/>
      </c>
      <c r="AN35" s="1" t="str">
        <f>IF(ISBLANK(Prices!AN33),"",Prices!AN33)</f>
        <v/>
      </c>
      <c r="AO35" s="1" t="str">
        <f>IF(ISBLANK(Prices!AO33),"",Prices!AO33)</f>
        <v/>
      </c>
      <c r="AP35" s="1" t="str">
        <f>IF(ISBLANK(Prices!AP33),"",Prices!AP33)</f>
        <v/>
      </c>
      <c r="AQ35" s="1" t="str">
        <f>IF(ISBLANK(Prices!AQ33),"",Prices!AQ33)</f>
        <v/>
      </c>
      <c r="AR35" s="1" t="str">
        <f>IF(ISBLANK(Prices!AR33),"",Prices!AR33)</f>
        <v/>
      </c>
      <c r="AS35" s="1" t="str">
        <f>IF(ISBLANK(Prices!AS33),"",Prices!AS33)</f>
        <v/>
      </c>
      <c r="AT35" s="1" t="str">
        <f>IF(ISBLANK(Prices!AT33),"",Prices!AT33)</f>
        <v/>
      </c>
      <c r="AU35" s="1" t="str">
        <f>IF(ISBLANK(Prices!AU33),"",Prices!AU33)</f>
        <v/>
      </c>
      <c r="AV35" s="1" t="str">
        <f>IF(ISBLANK(Prices!AV33),"",Prices!AV33)</f>
        <v/>
      </c>
      <c r="AW35" s="1" t="str">
        <f>IF(ISBLANK(Prices!AW33),"",Prices!AW33)</f>
        <v/>
      </c>
      <c r="AX35" s="1" t="str">
        <f>IF(ISBLANK(Prices!AX33),"",Prices!AX33)</f>
        <v/>
      </c>
      <c r="AY35" s="1" t="str">
        <f>IF(ISBLANK(Prices!AY33),"",Prices!AY33)</f>
        <v/>
      </c>
      <c r="AZ35" s="1" t="str">
        <f>IF(ISBLANK(Prices!AZ33),"",Prices!AZ33)</f>
        <v/>
      </c>
      <c r="BA35" s="1" t="str">
        <f>IF(ISBLANK(Prices!BA33),"",Prices!BA33)</f>
        <v/>
      </c>
      <c r="BB35" s="1" t="str">
        <f>IF(ISBLANK(Prices!BB33),"",Prices!BB33)</f>
        <v/>
      </c>
      <c r="BC35" s="1" t="str">
        <f>IF(ISBLANK(Prices!BC33),"",Prices!BC33)</f>
        <v/>
      </c>
      <c r="BD35" s="1" t="str">
        <f>IF(ISBLANK(Prices!BD33),"",Prices!BD33)</f>
        <v/>
      </c>
      <c r="BE35" s="1" t="str">
        <f>IF(ISBLANK(Prices!BE33),"",Prices!BE33)</f>
        <v/>
      </c>
      <c r="BF35" s="1" t="str">
        <f>IF(ISBLANK(Prices!BF33),"",Prices!BF33)</f>
        <v/>
      </c>
      <c r="BG35" s="1" t="str">
        <f>IF(ISBLANK(Prices!BG33),"",Prices!BG33)</f>
        <v/>
      </c>
      <c r="BH35" s="1" t="str">
        <f>IF(ISBLANK(Prices!BH33),"",Prices!BH33)</f>
        <v/>
      </c>
      <c r="BI35" s="1" t="str">
        <f>IF(ISBLANK(Prices!BI33),"",Prices!BI33)</f>
        <v/>
      </c>
      <c r="BJ35" s="1" t="str">
        <f>IF(ISBLANK(Prices!BJ33),"",Prices!BJ33)</f>
        <v/>
      </c>
      <c r="BK35" s="1" t="str">
        <f>IF(ISBLANK(Prices!BK33),"",Prices!BK33)</f>
        <v/>
      </c>
      <c r="BL35" s="1" t="str">
        <f>IF(ISBLANK(Prices!BL33),"",Prices!BL33)</f>
        <v/>
      </c>
      <c r="BM35" s="1" t="str">
        <f>IF(ISBLANK(Prices!BM33),"",Prices!BM33)</f>
        <v/>
      </c>
      <c r="BN35" s="1" t="str">
        <f>IF(ISBLANK(Prices!BN33),"",Prices!BN33)</f>
        <v/>
      </c>
      <c r="BO35" s="1" t="str">
        <f>IF(ISBLANK(Prices!BO33),"",Prices!BO33)</f>
        <v/>
      </c>
      <c r="BP35" s="1" t="str">
        <f>IF(ISBLANK(Prices!BP33),"",Prices!BP33)</f>
        <v/>
      </c>
      <c r="BQ35" s="1" t="str">
        <f>IF(ISBLANK(Prices!BQ33),"",Prices!BQ33)</f>
        <v/>
      </c>
      <c r="BR35" s="1" t="str">
        <f>IF(ISBLANK(Prices!BR33),"",Prices!BR33)</f>
        <v/>
      </c>
      <c r="BS35" s="1" t="str">
        <f>IF(ISBLANK(Prices!BS33),"",Prices!BS33)</f>
        <v/>
      </c>
      <c r="BT35" s="1" t="str">
        <f>IF(ISBLANK(Prices!BT33),"",Prices!BT33)</f>
        <v/>
      </c>
      <c r="BU35" s="1" t="str">
        <f>IF(ISBLANK(Prices!BU33),"",Prices!BU33)</f>
        <v/>
      </c>
      <c r="BV35" s="1" t="str">
        <f>IF(ISBLANK(Prices!BV33),"",Prices!BV33)</f>
        <v/>
      </c>
      <c r="BW35" s="1" t="str">
        <f>IF(ISBLANK(Prices!BW33),"",Prices!BW33)</f>
        <v/>
      </c>
      <c r="BX35" s="1" t="str">
        <f>IF(ISBLANK(Prices!BX33),"",Prices!BX33)</f>
        <v/>
      </c>
      <c r="BY35" s="1" t="str">
        <f>IF(ISBLANK(Prices!BY33),"",Prices!BY33)</f>
        <v/>
      </c>
      <c r="BZ35" s="1" t="str">
        <f>IF(ISBLANK(Prices!BZ33),"",Prices!BZ33)</f>
        <v/>
      </c>
      <c r="CA35" s="1" t="str">
        <f>IF(ISBLANK(Prices!CA33),"",Prices!CA33)</f>
        <v/>
      </c>
      <c r="CB35" s="1" t="str">
        <f>IF(ISBLANK(Prices!CB33),"",Prices!CB33)</f>
        <v/>
      </c>
      <c r="CC35" s="1" t="str">
        <f>IF(ISBLANK(Prices!CC33),"",Prices!CC33)</f>
        <v/>
      </c>
      <c r="CD35" s="1" t="str">
        <f>IF(ISBLANK(Prices!CD33),"",Prices!CD33)</f>
        <v/>
      </c>
      <c r="CE35" s="1" t="str">
        <f>IF(ISBLANK(Prices!CE33),"",Prices!CE33)</f>
        <v/>
      </c>
      <c r="CF35" s="1" t="str">
        <f>IF(ISBLANK(Prices!CF33),"",Prices!CF33)</f>
        <v/>
      </c>
      <c r="CG35" s="1" t="str">
        <f>IF(ISBLANK(Prices!CG33),"",Prices!CG33)</f>
        <v/>
      </c>
      <c r="CH35" s="1" t="str">
        <f>IF(ISBLANK(Prices!CH33),"",Prices!CH33)</f>
        <v/>
      </c>
      <c r="CI35" s="1" t="str">
        <f>IF(ISBLANK(Prices!CI33),"",Prices!CI33)</f>
        <v/>
      </c>
      <c r="CJ35" s="1" t="str">
        <f>IF(ISBLANK(Prices!CJ33),"",Prices!CJ33)</f>
        <v/>
      </c>
      <c r="CK35" s="1" t="str">
        <f>IF(ISBLANK(Prices!CK33),"",Prices!CK33)</f>
        <v/>
      </c>
      <c r="CL35" s="1" t="str">
        <f>IF(ISBLANK(Prices!CL33),"",Prices!CL33)</f>
        <v/>
      </c>
      <c r="CM35" s="1" t="str">
        <f>IF(ISBLANK(Prices!CM33),"",Prices!CM33)</f>
        <v/>
      </c>
      <c r="CN35" s="1" t="str">
        <f>IF(ISBLANK(Prices!CN33),"",Prices!CN33)</f>
        <v/>
      </c>
    </row>
    <row r="36" spans="2:92" x14ac:dyDescent="0.25">
      <c r="B36" s="1" t="str">
        <f>IF(ISBLANK(Prices!A34),"",Prices!A34)</f>
        <v/>
      </c>
      <c r="C36" s="1" t="str">
        <f>IF(ISBLANK(Prices!C34),"",Prices!C34)</f>
        <v/>
      </c>
      <c r="D36" s="1" t="str">
        <f>IF(ISBLANK(Prices!D34),"",Prices!D34)</f>
        <v/>
      </c>
      <c r="E36" s="1" t="str">
        <f>IF(ISBLANK(Prices!E34),"",Prices!E34)</f>
        <v/>
      </c>
      <c r="F36" s="1" t="str">
        <f>IF(ISBLANK(Prices!F34),"",Prices!F34)</f>
        <v/>
      </c>
      <c r="G36" s="1" t="str">
        <f>IF(ISBLANK(Prices!G34),"",Prices!G34)</f>
        <v/>
      </c>
      <c r="H36" s="1" t="str">
        <f>IF(ISBLANK(Prices!H34),"",Prices!H34)</f>
        <v/>
      </c>
      <c r="I36" s="1" t="str">
        <f>IF(ISBLANK(Prices!I34),"",Prices!I34)</f>
        <v/>
      </c>
      <c r="J36" s="1" t="str">
        <f>IF(ISBLANK(Prices!J34),"",Prices!J34)</f>
        <v/>
      </c>
      <c r="K36" s="1" t="str">
        <f>IF(ISBLANK(Prices!K34),"",Prices!K34)</f>
        <v/>
      </c>
      <c r="L36" s="1" t="str">
        <f>IF(ISBLANK(Prices!L34),"",Prices!L34)</f>
        <v/>
      </c>
      <c r="M36" s="1" t="str">
        <f>IF(ISBLANK(Prices!M34),"",Prices!M34)</f>
        <v/>
      </c>
      <c r="N36" s="1" t="str">
        <f>IF(ISBLANK(Prices!N34),"",Prices!N34)</f>
        <v/>
      </c>
      <c r="O36" s="1" t="str">
        <f>IF(ISBLANK(Prices!O34),"",Prices!O34)</f>
        <v/>
      </c>
      <c r="P36" s="1" t="str">
        <f>IF(ISBLANK(Prices!P34),"",Prices!P34)</f>
        <v/>
      </c>
      <c r="Q36" s="1" t="str">
        <f>IF(ISBLANK(Prices!Q34),"",Prices!Q34)</f>
        <v/>
      </c>
      <c r="R36" s="1" t="str">
        <f>IF(ISBLANK(Prices!R34),"",Prices!R34)</f>
        <v/>
      </c>
      <c r="S36" s="1" t="str">
        <f>IF(ISBLANK(Prices!S34),"",Prices!S34)</f>
        <v/>
      </c>
      <c r="T36" s="1" t="str">
        <f>IF(ISBLANK(Prices!T34),"",Prices!T34)</f>
        <v/>
      </c>
      <c r="U36" s="1" t="str">
        <f>IF(ISBLANK(Prices!U34),"",Prices!U34)</f>
        <v/>
      </c>
      <c r="V36" s="1" t="str">
        <f>IF(ISBLANK(Prices!V34),"",Prices!V34)</f>
        <v/>
      </c>
      <c r="W36" s="1" t="str">
        <f>IF(ISBLANK(Prices!W34),"",Prices!W34)</f>
        <v/>
      </c>
      <c r="X36" s="1" t="str">
        <f>IF(ISBLANK(Prices!X34),"",Prices!X34)</f>
        <v/>
      </c>
      <c r="Y36" s="1" t="str">
        <f>IF(ISBLANK(Prices!Y34),"",Prices!Y34)</f>
        <v/>
      </c>
      <c r="Z36" s="1" t="str">
        <f>IF(ISBLANK(Prices!Z34),"",Prices!Z34)</f>
        <v/>
      </c>
      <c r="AA36" s="1" t="str">
        <f>IF(ISBLANK(Prices!AA34),"",Prices!AA34)</f>
        <v/>
      </c>
      <c r="AB36" s="1" t="str">
        <f>IF(ISBLANK(Prices!AB34),"",Prices!AB34)</f>
        <v/>
      </c>
      <c r="AC36" s="1" t="str">
        <f>IF(ISBLANK(Prices!AC34),"",Prices!AC34)</f>
        <v/>
      </c>
      <c r="AD36" s="1" t="str">
        <f>IF(ISBLANK(Prices!AD34),"",Prices!AD34)</f>
        <v/>
      </c>
      <c r="AE36" s="1" t="str">
        <f>IF(ISBLANK(Prices!AE34),"",Prices!AE34)</f>
        <v/>
      </c>
      <c r="AF36" s="1" t="str">
        <f>IF(ISBLANK(Prices!AF34),"",Prices!AF34)</f>
        <v/>
      </c>
      <c r="AG36" s="1" t="str">
        <f>IF(ISBLANK(Prices!AG34),"",Prices!AG34)</f>
        <v/>
      </c>
      <c r="AH36" s="1" t="str">
        <f>IF(ISBLANK(Prices!AH34),"",Prices!AH34)</f>
        <v/>
      </c>
      <c r="AI36" s="1" t="str">
        <f>IF(ISBLANK(Prices!AI34),"",Prices!AI34)</f>
        <v/>
      </c>
      <c r="AJ36" s="1" t="str">
        <f>IF(ISBLANK(Prices!AJ34),"",Prices!AJ34)</f>
        <v/>
      </c>
      <c r="AK36" s="1" t="str">
        <f>IF(ISBLANK(Prices!AK34),"",Prices!AK34)</f>
        <v/>
      </c>
      <c r="AL36" s="1" t="str">
        <f>IF(ISBLANK(Prices!AL34),"",Prices!AL34)</f>
        <v/>
      </c>
      <c r="AM36" s="1" t="str">
        <f>IF(ISBLANK(Prices!AM34),"",Prices!AM34)</f>
        <v/>
      </c>
      <c r="AN36" s="1" t="str">
        <f>IF(ISBLANK(Prices!AN34),"",Prices!AN34)</f>
        <v/>
      </c>
      <c r="AO36" s="1" t="str">
        <f>IF(ISBLANK(Prices!AO34),"",Prices!AO34)</f>
        <v/>
      </c>
      <c r="AP36" s="1" t="str">
        <f>IF(ISBLANK(Prices!AP34),"",Prices!AP34)</f>
        <v/>
      </c>
      <c r="AQ36" s="1" t="str">
        <f>IF(ISBLANK(Prices!AQ34),"",Prices!AQ34)</f>
        <v/>
      </c>
      <c r="AR36" s="1" t="str">
        <f>IF(ISBLANK(Prices!AR34),"",Prices!AR34)</f>
        <v/>
      </c>
      <c r="AS36" s="1" t="str">
        <f>IF(ISBLANK(Prices!AS34),"",Prices!AS34)</f>
        <v/>
      </c>
      <c r="AT36" s="1" t="str">
        <f>IF(ISBLANK(Prices!AT34),"",Prices!AT34)</f>
        <v/>
      </c>
      <c r="AU36" s="1" t="str">
        <f>IF(ISBLANK(Prices!AU34),"",Prices!AU34)</f>
        <v/>
      </c>
      <c r="AV36" s="1" t="str">
        <f>IF(ISBLANK(Prices!AV34),"",Prices!AV34)</f>
        <v/>
      </c>
      <c r="AW36" s="1" t="str">
        <f>IF(ISBLANK(Prices!AW34),"",Prices!AW34)</f>
        <v/>
      </c>
      <c r="AX36" s="1" t="str">
        <f>IF(ISBLANK(Prices!AX34),"",Prices!AX34)</f>
        <v/>
      </c>
      <c r="AY36" s="1" t="str">
        <f>IF(ISBLANK(Prices!AY34),"",Prices!AY34)</f>
        <v/>
      </c>
      <c r="AZ36" s="1" t="str">
        <f>IF(ISBLANK(Prices!AZ34),"",Prices!AZ34)</f>
        <v/>
      </c>
      <c r="BA36" s="1" t="str">
        <f>IF(ISBLANK(Prices!BA34),"",Prices!BA34)</f>
        <v/>
      </c>
      <c r="BB36" s="1" t="str">
        <f>IF(ISBLANK(Prices!BB34),"",Prices!BB34)</f>
        <v/>
      </c>
      <c r="BC36" s="1" t="str">
        <f>IF(ISBLANK(Prices!BC34),"",Prices!BC34)</f>
        <v/>
      </c>
      <c r="BD36" s="1" t="str">
        <f>IF(ISBLANK(Prices!BD34),"",Prices!BD34)</f>
        <v/>
      </c>
      <c r="BE36" s="1" t="str">
        <f>IF(ISBLANK(Prices!BE34),"",Prices!BE34)</f>
        <v/>
      </c>
      <c r="BF36" s="1" t="str">
        <f>IF(ISBLANK(Prices!BF34),"",Prices!BF34)</f>
        <v/>
      </c>
      <c r="BG36" s="1" t="str">
        <f>IF(ISBLANK(Prices!BG34),"",Prices!BG34)</f>
        <v/>
      </c>
      <c r="BH36" s="1" t="str">
        <f>IF(ISBLANK(Prices!BH34),"",Prices!BH34)</f>
        <v/>
      </c>
      <c r="BI36" s="1" t="str">
        <f>IF(ISBLANK(Prices!BI34),"",Prices!BI34)</f>
        <v/>
      </c>
      <c r="BJ36" s="1" t="str">
        <f>IF(ISBLANK(Prices!BJ34),"",Prices!BJ34)</f>
        <v/>
      </c>
      <c r="BK36" s="1" t="str">
        <f>IF(ISBLANK(Prices!BK34),"",Prices!BK34)</f>
        <v/>
      </c>
      <c r="BL36" s="1" t="str">
        <f>IF(ISBLANK(Prices!BL34),"",Prices!BL34)</f>
        <v/>
      </c>
      <c r="BM36" s="1" t="str">
        <f>IF(ISBLANK(Prices!BM34),"",Prices!BM34)</f>
        <v/>
      </c>
      <c r="BN36" s="1" t="str">
        <f>IF(ISBLANK(Prices!BN34),"",Prices!BN34)</f>
        <v/>
      </c>
      <c r="BO36" s="1" t="str">
        <f>IF(ISBLANK(Prices!BO34),"",Prices!BO34)</f>
        <v/>
      </c>
      <c r="BP36" s="1" t="str">
        <f>IF(ISBLANK(Prices!BP34),"",Prices!BP34)</f>
        <v/>
      </c>
      <c r="BQ36" s="1" t="str">
        <f>IF(ISBLANK(Prices!BQ34),"",Prices!BQ34)</f>
        <v/>
      </c>
      <c r="BR36" s="1" t="str">
        <f>IF(ISBLANK(Prices!BR34),"",Prices!BR34)</f>
        <v/>
      </c>
      <c r="BS36" s="1" t="str">
        <f>IF(ISBLANK(Prices!BS34),"",Prices!BS34)</f>
        <v/>
      </c>
      <c r="BT36" s="1" t="str">
        <f>IF(ISBLANK(Prices!BT34),"",Prices!BT34)</f>
        <v/>
      </c>
      <c r="BU36" s="1" t="str">
        <f>IF(ISBLANK(Prices!BU34),"",Prices!BU34)</f>
        <v/>
      </c>
      <c r="BV36" s="1" t="str">
        <f>IF(ISBLANK(Prices!BV34),"",Prices!BV34)</f>
        <v/>
      </c>
      <c r="BW36" s="1" t="str">
        <f>IF(ISBLANK(Prices!BW34),"",Prices!BW34)</f>
        <v/>
      </c>
      <c r="BX36" s="1" t="str">
        <f>IF(ISBLANK(Prices!BX34),"",Prices!BX34)</f>
        <v/>
      </c>
      <c r="BY36" s="1" t="str">
        <f>IF(ISBLANK(Prices!BY34),"",Prices!BY34)</f>
        <v/>
      </c>
      <c r="BZ36" s="1" t="str">
        <f>IF(ISBLANK(Prices!BZ34),"",Prices!BZ34)</f>
        <v/>
      </c>
      <c r="CA36" s="1" t="str">
        <f>IF(ISBLANK(Prices!CA34),"",Prices!CA34)</f>
        <v/>
      </c>
      <c r="CB36" s="1" t="str">
        <f>IF(ISBLANK(Prices!CB34),"",Prices!CB34)</f>
        <v/>
      </c>
      <c r="CC36" s="1" t="str">
        <f>IF(ISBLANK(Prices!CC34),"",Prices!CC34)</f>
        <v/>
      </c>
      <c r="CD36" s="1" t="str">
        <f>IF(ISBLANK(Prices!CD34),"",Prices!CD34)</f>
        <v/>
      </c>
      <c r="CE36" s="1" t="str">
        <f>IF(ISBLANK(Prices!CE34),"",Prices!CE34)</f>
        <v/>
      </c>
      <c r="CF36" s="1" t="str">
        <f>IF(ISBLANK(Prices!CF34),"",Prices!CF34)</f>
        <v/>
      </c>
      <c r="CG36" s="1" t="str">
        <f>IF(ISBLANK(Prices!CG34),"",Prices!CG34)</f>
        <v/>
      </c>
      <c r="CH36" s="1" t="str">
        <f>IF(ISBLANK(Prices!CH34),"",Prices!CH34)</f>
        <v/>
      </c>
      <c r="CI36" s="1" t="str">
        <f>IF(ISBLANK(Prices!CI34),"",Prices!CI34)</f>
        <v/>
      </c>
      <c r="CJ36" s="1" t="str">
        <f>IF(ISBLANK(Prices!CJ34),"",Prices!CJ34)</f>
        <v/>
      </c>
      <c r="CK36" s="1" t="str">
        <f>IF(ISBLANK(Prices!CK34),"",Prices!CK34)</f>
        <v/>
      </c>
      <c r="CL36" s="1" t="str">
        <f>IF(ISBLANK(Prices!CL34),"",Prices!CL34)</f>
        <v/>
      </c>
      <c r="CM36" s="1" t="str">
        <f>IF(ISBLANK(Prices!CM34),"",Prices!CM34)</f>
        <v/>
      </c>
      <c r="CN36" s="1" t="str">
        <f>IF(ISBLANK(Prices!CN34),"",Prices!CN34)</f>
        <v/>
      </c>
    </row>
    <row r="37" spans="2:92" x14ac:dyDescent="0.25">
      <c r="B37" s="1" t="str">
        <f>IF(ISBLANK(Prices!A35),"",Prices!A35)</f>
        <v/>
      </c>
      <c r="C37" s="1" t="str">
        <f>IF(ISBLANK(Prices!C35),"",Prices!C35)</f>
        <v/>
      </c>
      <c r="D37" s="1" t="str">
        <f>IF(ISBLANK(Prices!D35),"",Prices!D35)</f>
        <v/>
      </c>
      <c r="E37" s="1" t="str">
        <f>IF(ISBLANK(Prices!E35),"",Prices!E35)</f>
        <v/>
      </c>
      <c r="F37" s="1" t="str">
        <f>IF(ISBLANK(Prices!F35),"",Prices!F35)</f>
        <v/>
      </c>
      <c r="G37" s="1" t="str">
        <f>IF(ISBLANK(Prices!G35),"",Prices!G35)</f>
        <v/>
      </c>
      <c r="H37" s="1" t="str">
        <f>IF(ISBLANK(Prices!H35),"",Prices!H35)</f>
        <v/>
      </c>
      <c r="I37" s="1" t="str">
        <f>IF(ISBLANK(Prices!I35),"",Prices!I35)</f>
        <v/>
      </c>
      <c r="J37" s="1" t="str">
        <f>IF(ISBLANK(Prices!J35),"",Prices!J35)</f>
        <v/>
      </c>
      <c r="K37" s="1" t="str">
        <f>IF(ISBLANK(Prices!K35),"",Prices!K35)</f>
        <v/>
      </c>
      <c r="L37" s="1" t="str">
        <f>IF(ISBLANK(Prices!L35),"",Prices!L35)</f>
        <v/>
      </c>
      <c r="M37" s="1" t="str">
        <f>IF(ISBLANK(Prices!M35),"",Prices!M35)</f>
        <v/>
      </c>
      <c r="N37" s="1" t="str">
        <f>IF(ISBLANK(Prices!N35),"",Prices!N35)</f>
        <v/>
      </c>
      <c r="O37" s="1" t="str">
        <f>IF(ISBLANK(Prices!O35),"",Prices!O35)</f>
        <v/>
      </c>
      <c r="P37" s="1" t="str">
        <f>IF(ISBLANK(Prices!P35),"",Prices!P35)</f>
        <v/>
      </c>
      <c r="Q37" s="1" t="str">
        <f>IF(ISBLANK(Prices!Q35),"",Prices!Q35)</f>
        <v/>
      </c>
      <c r="R37" s="1" t="str">
        <f>IF(ISBLANK(Prices!R35),"",Prices!R35)</f>
        <v/>
      </c>
      <c r="S37" s="1" t="str">
        <f>IF(ISBLANK(Prices!S35),"",Prices!S35)</f>
        <v/>
      </c>
      <c r="T37" s="1" t="str">
        <f>IF(ISBLANK(Prices!T35),"",Prices!T35)</f>
        <v/>
      </c>
      <c r="U37" s="1" t="str">
        <f>IF(ISBLANK(Prices!U35),"",Prices!U35)</f>
        <v/>
      </c>
      <c r="V37" s="1" t="str">
        <f>IF(ISBLANK(Prices!V35),"",Prices!V35)</f>
        <v/>
      </c>
      <c r="W37" s="1" t="str">
        <f>IF(ISBLANK(Prices!W35),"",Prices!W35)</f>
        <v/>
      </c>
      <c r="X37" s="1" t="str">
        <f>IF(ISBLANK(Prices!X35),"",Prices!X35)</f>
        <v/>
      </c>
      <c r="Y37" s="1" t="str">
        <f>IF(ISBLANK(Prices!Y35),"",Prices!Y35)</f>
        <v/>
      </c>
      <c r="Z37" s="1" t="str">
        <f>IF(ISBLANK(Prices!Z35),"",Prices!Z35)</f>
        <v/>
      </c>
      <c r="AA37" s="1" t="str">
        <f>IF(ISBLANK(Prices!AA35),"",Prices!AA35)</f>
        <v/>
      </c>
      <c r="AB37" s="1" t="str">
        <f>IF(ISBLANK(Prices!AB35),"",Prices!AB35)</f>
        <v/>
      </c>
      <c r="AC37" s="1" t="str">
        <f>IF(ISBLANK(Prices!AC35),"",Prices!AC35)</f>
        <v/>
      </c>
      <c r="AD37" s="1" t="str">
        <f>IF(ISBLANK(Prices!AD35),"",Prices!AD35)</f>
        <v/>
      </c>
      <c r="AE37" s="1" t="str">
        <f>IF(ISBLANK(Prices!AE35),"",Prices!AE35)</f>
        <v/>
      </c>
      <c r="AF37" s="1" t="str">
        <f>IF(ISBLANK(Prices!AF35),"",Prices!AF35)</f>
        <v/>
      </c>
      <c r="AG37" s="1" t="str">
        <f>IF(ISBLANK(Prices!AG35),"",Prices!AG35)</f>
        <v/>
      </c>
      <c r="AH37" s="1" t="str">
        <f>IF(ISBLANK(Prices!AH35),"",Prices!AH35)</f>
        <v/>
      </c>
      <c r="AI37" s="1" t="str">
        <f>IF(ISBLANK(Prices!AI35),"",Prices!AI35)</f>
        <v/>
      </c>
      <c r="AJ37" s="1" t="str">
        <f>IF(ISBLANK(Prices!AJ35),"",Prices!AJ35)</f>
        <v/>
      </c>
      <c r="AK37" s="1" t="str">
        <f>IF(ISBLANK(Prices!AK35),"",Prices!AK35)</f>
        <v/>
      </c>
      <c r="AL37" s="1" t="str">
        <f>IF(ISBLANK(Prices!AL35),"",Prices!AL35)</f>
        <v/>
      </c>
      <c r="AM37" s="1" t="str">
        <f>IF(ISBLANK(Prices!AM35),"",Prices!AM35)</f>
        <v/>
      </c>
      <c r="AN37" s="1" t="str">
        <f>IF(ISBLANK(Prices!AN35),"",Prices!AN35)</f>
        <v/>
      </c>
      <c r="AO37" s="1" t="str">
        <f>IF(ISBLANK(Prices!AO35),"",Prices!AO35)</f>
        <v/>
      </c>
      <c r="AP37" s="1" t="str">
        <f>IF(ISBLANK(Prices!AP35),"",Prices!AP35)</f>
        <v/>
      </c>
      <c r="AQ37" s="1" t="str">
        <f>IF(ISBLANK(Prices!AQ35),"",Prices!AQ35)</f>
        <v/>
      </c>
      <c r="AR37" s="1" t="str">
        <f>IF(ISBLANK(Prices!AR35),"",Prices!AR35)</f>
        <v/>
      </c>
      <c r="AS37" s="1" t="str">
        <f>IF(ISBLANK(Prices!AS35),"",Prices!AS35)</f>
        <v/>
      </c>
      <c r="AT37" s="1" t="str">
        <f>IF(ISBLANK(Prices!AT35),"",Prices!AT35)</f>
        <v/>
      </c>
      <c r="AU37" s="1" t="str">
        <f>IF(ISBLANK(Prices!AU35),"",Prices!AU35)</f>
        <v/>
      </c>
      <c r="AV37" s="1" t="str">
        <f>IF(ISBLANK(Prices!AV35),"",Prices!AV35)</f>
        <v/>
      </c>
      <c r="AW37" s="1" t="str">
        <f>IF(ISBLANK(Prices!AW35),"",Prices!AW35)</f>
        <v/>
      </c>
      <c r="AX37" s="1" t="str">
        <f>IF(ISBLANK(Prices!AX35),"",Prices!AX35)</f>
        <v/>
      </c>
      <c r="AY37" s="1" t="str">
        <f>IF(ISBLANK(Prices!AY35),"",Prices!AY35)</f>
        <v/>
      </c>
      <c r="AZ37" s="1" t="str">
        <f>IF(ISBLANK(Prices!AZ35),"",Prices!AZ35)</f>
        <v/>
      </c>
      <c r="BA37" s="1" t="str">
        <f>IF(ISBLANK(Prices!BA35),"",Prices!BA35)</f>
        <v/>
      </c>
      <c r="BB37" s="1" t="str">
        <f>IF(ISBLANK(Prices!BB35),"",Prices!BB35)</f>
        <v/>
      </c>
      <c r="BC37" s="1" t="str">
        <f>IF(ISBLANK(Prices!BC35),"",Prices!BC35)</f>
        <v/>
      </c>
      <c r="BD37" s="1" t="str">
        <f>IF(ISBLANK(Prices!BD35),"",Prices!BD35)</f>
        <v/>
      </c>
      <c r="BE37" s="1" t="str">
        <f>IF(ISBLANK(Prices!BE35),"",Prices!BE35)</f>
        <v/>
      </c>
      <c r="BF37" s="1" t="str">
        <f>IF(ISBLANK(Prices!BF35),"",Prices!BF35)</f>
        <v/>
      </c>
      <c r="BG37" s="1" t="str">
        <f>IF(ISBLANK(Prices!BG35),"",Prices!BG35)</f>
        <v/>
      </c>
      <c r="BH37" s="1" t="str">
        <f>IF(ISBLANK(Prices!BH35),"",Prices!BH35)</f>
        <v/>
      </c>
      <c r="BI37" s="1" t="str">
        <f>IF(ISBLANK(Prices!BI35),"",Prices!BI35)</f>
        <v/>
      </c>
      <c r="BJ37" s="1" t="str">
        <f>IF(ISBLANK(Prices!BJ35),"",Prices!BJ35)</f>
        <v/>
      </c>
      <c r="BK37" s="1" t="str">
        <f>IF(ISBLANK(Prices!BK35),"",Prices!BK35)</f>
        <v/>
      </c>
      <c r="BL37" s="1" t="str">
        <f>IF(ISBLANK(Prices!BL35),"",Prices!BL35)</f>
        <v/>
      </c>
      <c r="BM37" s="1" t="str">
        <f>IF(ISBLANK(Prices!BM35),"",Prices!BM35)</f>
        <v/>
      </c>
      <c r="BN37" s="1" t="str">
        <f>IF(ISBLANK(Prices!BN35),"",Prices!BN35)</f>
        <v/>
      </c>
      <c r="BO37" s="1" t="str">
        <f>IF(ISBLANK(Prices!BO35),"",Prices!BO35)</f>
        <v/>
      </c>
      <c r="BP37" s="1" t="str">
        <f>IF(ISBLANK(Prices!BP35),"",Prices!BP35)</f>
        <v/>
      </c>
      <c r="BQ37" s="1" t="str">
        <f>IF(ISBLANK(Prices!BQ35),"",Prices!BQ35)</f>
        <v/>
      </c>
      <c r="BR37" s="1" t="str">
        <f>IF(ISBLANK(Prices!BR35),"",Prices!BR35)</f>
        <v/>
      </c>
      <c r="BS37" s="1" t="str">
        <f>IF(ISBLANK(Prices!BS35),"",Prices!BS35)</f>
        <v/>
      </c>
      <c r="BT37" s="1" t="str">
        <f>IF(ISBLANK(Prices!BT35),"",Prices!BT35)</f>
        <v/>
      </c>
      <c r="BU37" s="1" t="str">
        <f>IF(ISBLANK(Prices!BU35),"",Prices!BU35)</f>
        <v/>
      </c>
      <c r="BV37" s="1" t="str">
        <f>IF(ISBLANK(Prices!BV35),"",Prices!BV35)</f>
        <v/>
      </c>
      <c r="BW37" s="1" t="str">
        <f>IF(ISBLANK(Prices!BW35),"",Prices!BW35)</f>
        <v/>
      </c>
      <c r="BX37" s="1" t="str">
        <f>IF(ISBLANK(Prices!BX35),"",Prices!BX35)</f>
        <v/>
      </c>
      <c r="BY37" s="1" t="str">
        <f>IF(ISBLANK(Prices!BY35),"",Prices!BY35)</f>
        <v/>
      </c>
      <c r="BZ37" s="1" t="str">
        <f>IF(ISBLANK(Prices!BZ35),"",Prices!BZ35)</f>
        <v/>
      </c>
      <c r="CA37" s="1" t="str">
        <f>IF(ISBLANK(Prices!CA35),"",Prices!CA35)</f>
        <v/>
      </c>
      <c r="CB37" s="1" t="str">
        <f>IF(ISBLANK(Prices!CB35),"",Prices!CB35)</f>
        <v/>
      </c>
      <c r="CC37" s="1" t="str">
        <f>IF(ISBLANK(Prices!CC35),"",Prices!CC35)</f>
        <v/>
      </c>
      <c r="CD37" s="1" t="str">
        <f>IF(ISBLANK(Prices!CD35),"",Prices!CD35)</f>
        <v/>
      </c>
      <c r="CE37" s="1" t="str">
        <f>IF(ISBLANK(Prices!CE35),"",Prices!CE35)</f>
        <v/>
      </c>
      <c r="CF37" s="1" t="str">
        <f>IF(ISBLANK(Prices!CF35),"",Prices!CF35)</f>
        <v/>
      </c>
      <c r="CG37" s="1" t="str">
        <f>IF(ISBLANK(Prices!CG35),"",Prices!CG35)</f>
        <v/>
      </c>
      <c r="CH37" s="1" t="str">
        <f>IF(ISBLANK(Prices!CH35),"",Prices!CH35)</f>
        <v/>
      </c>
      <c r="CI37" s="1" t="str">
        <f>IF(ISBLANK(Prices!CI35),"",Prices!CI35)</f>
        <v/>
      </c>
      <c r="CJ37" s="1" t="str">
        <f>IF(ISBLANK(Prices!CJ35),"",Prices!CJ35)</f>
        <v/>
      </c>
      <c r="CK37" s="1" t="str">
        <f>IF(ISBLANK(Prices!CK35),"",Prices!CK35)</f>
        <v/>
      </c>
      <c r="CL37" s="1" t="str">
        <f>IF(ISBLANK(Prices!CL35),"",Prices!CL35)</f>
        <v/>
      </c>
      <c r="CM37" s="1" t="str">
        <f>IF(ISBLANK(Prices!CM35),"",Prices!CM35)</f>
        <v/>
      </c>
      <c r="CN37" s="1" t="str">
        <f>IF(ISBLANK(Prices!CN35),"",Prices!CN35)</f>
        <v/>
      </c>
    </row>
    <row r="38" spans="2:92" x14ac:dyDescent="0.25">
      <c r="B38" s="1" t="str">
        <f>IF(ISBLANK(Prices!A36),"",Prices!A36)</f>
        <v/>
      </c>
      <c r="C38" s="1" t="str">
        <f>IF(ISBLANK(Prices!C36),"",Prices!C36)</f>
        <v/>
      </c>
      <c r="D38" s="1" t="str">
        <f>IF(ISBLANK(Prices!D36),"",Prices!D36)</f>
        <v/>
      </c>
      <c r="E38" s="1" t="str">
        <f>IF(ISBLANK(Prices!E36),"",Prices!E36)</f>
        <v/>
      </c>
      <c r="F38" s="1" t="str">
        <f>IF(ISBLANK(Prices!F36),"",Prices!F36)</f>
        <v/>
      </c>
      <c r="G38" s="1" t="str">
        <f>IF(ISBLANK(Prices!G36),"",Prices!G36)</f>
        <v/>
      </c>
      <c r="H38" s="1" t="str">
        <f>IF(ISBLANK(Prices!H36),"",Prices!H36)</f>
        <v/>
      </c>
      <c r="I38" s="1" t="str">
        <f>IF(ISBLANK(Prices!I36),"",Prices!I36)</f>
        <v/>
      </c>
      <c r="J38" s="1" t="str">
        <f>IF(ISBLANK(Prices!J36),"",Prices!J36)</f>
        <v/>
      </c>
      <c r="K38" s="1" t="str">
        <f>IF(ISBLANK(Prices!K36),"",Prices!K36)</f>
        <v/>
      </c>
      <c r="L38" s="1" t="str">
        <f>IF(ISBLANK(Prices!L36),"",Prices!L36)</f>
        <v/>
      </c>
      <c r="M38" s="1" t="str">
        <f>IF(ISBLANK(Prices!M36),"",Prices!M36)</f>
        <v/>
      </c>
      <c r="N38" s="1" t="str">
        <f>IF(ISBLANK(Prices!N36),"",Prices!N36)</f>
        <v/>
      </c>
      <c r="O38" s="1" t="str">
        <f>IF(ISBLANK(Prices!O36),"",Prices!O36)</f>
        <v/>
      </c>
      <c r="P38" s="1" t="str">
        <f>IF(ISBLANK(Prices!P36),"",Prices!P36)</f>
        <v/>
      </c>
      <c r="Q38" s="1" t="str">
        <f>IF(ISBLANK(Prices!Q36),"",Prices!Q36)</f>
        <v/>
      </c>
      <c r="R38" s="1" t="str">
        <f>IF(ISBLANK(Prices!R36),"",Prices!R36)</f>
        <v/>
      </c>
      <c r="S38" s="1" t="str">
        <f>IF(ISBLANK(Prices!S36),"",Prices!S36)</f>
        <v/>
      </c>
      <c r="T38" s="1" t="str">
        <f>IF(ISBLANK(Prices!T36),"",Prices!T36)</f>
        <v/>
      </c>
      <c r="U38" s="1" t="str">
        <f>IF(ISBLANK(Prices!U36),"",Prices!U36)</f>
        <v/>
      </c>
      <c r="V38" s="1" t="str">
        <f>IF(ISBLANK(Prices!V36),"",Prices!V36)</f>
        <v/>
      </c>
      <c r="W38" s="1" t="str">
        <f>IF(ISBLANK(Prices!W36),"",Prices!W36)</f>
        <v/>
      </c>
      <c r="X38" s="1" t="str">
        <f>IF(ISBLANK(Prices!X36),"",Prices!X36)</f>
        <v/>
      </c>
      <c r="Y38" s="1" t="str">
        <f>IF(ISBLANK(Prices!Y36),"",Prices!Y36)</f>
        <v/>
      </c>
      <c r="Z38" s="1" t="str">
        <f>IF(ISBLANK(Prices!Z36),"",Prices!Z36)</f>
        <v/>
      </c>
      <c r="AA38" s="1" t="str">
        <f>IF(ISBLANK(Prices!AA36),"",Prices!AA36)</f>
        <v/>
      </c>
      <c r="AB38" s="1" t="str">
        <f>IF(ISBLANK(Prices!AB36),"",Prices!AB36)</f>
        <v/>
      </c>
      <c r="AC38" s="1" t="str">
        <f>IF(ISBLANK(Prices!AC36),"",Prices!AC36)</f>
        <v/>
      </c>
      <c r="AD38" s="1" t="str">
        <f>IF(ISBLANK(Prices!AD36),"",Prices!AD36)</f>
        <v/>
      </c>
      <c r="AE38" s="1" t="str">
        <f>IF(ISBLANK(Prices!AE36),"",Prices!AE36)</f>
        <v/>
      </c>
      <c r="AF38" s="1" t="str">
        <f>IF(ISBLANK(Prices!AF36),"",Prices!AF36)</f>
        <v/>
      </c>
      <c r="AG38" s="1" t="str">
        <f>IF(ISBLANK(Prices!AG36),"",Prices!AG36)</f>
        <v/>
      </c>
      <c r="AH38" s="1" t="str">
        <f>IF(ISBLANK(Prices!AH36),"",Prices!AH36)</f>
        <v/>
      </c>
      <c r="AI38" s="1" t="str">
        <f>IF(ISBLANK(Prices!AI36),"",Prices!AI36)</f>
        <v/>
      </c>
      <c r="AJ38" s="1" t="str">
        <f>IF(ISBLANK(Prices!AJ36),"",Prices!AJ36)</f>
        <v/>
      </c>
      <c r="AK38" s="1" t="str">
        <f>IF(ISBLANK(Prices!AK36),"",Prices!AK36)</f>
        <v/>
      </c>
      <c r="AL38" s="1" t="str">
        <f>IF(ISBLANK(Prices!AL36),"",Prices!AL36)</f>
        <v/>
      </c>
      <c r="AM38" s="1" t="str">
        <f>IF(ISBLANK(Prices!AM36),"",Prices!AM36)</f>
        <v/>
      </c>
      <c r="AN38" s="1" t="str">
        <f>IF(ISBLANK(Prices!AN36),"",Prices!AN36)</f>
        <v/>
      </c>
      <c r="AO38" s="1" t="str">
        <f>IF(ISBLANK(Prices!AO36),"",Prices!AO36)</f>
        <v/>
      </c>
      <c r="AP38" s="1" t="str">
        <f>IF(ISBLANK(Prices!AP36),"",Prices!AP36)</f>
        <v/>
      </c>
      <c r="AQ38" s="1" t="str">
        <f>IF(ISBLANK(Prices!AQ36),"",Prices!AQ36)</f>
        <v/>
      </c>
      <c r="AR38" s="1" t="str">
        <f>IF(ISBLANK(Prices!AR36),"",Prices!AR36)</f>
        <v/>
      </c>
      <c r="AS38" s="1" t="str">
        <f>IF(ISBLANK(Prices!AS36),"",Prices!AS36)</f>
        <v/>
      </c>
      <c r="AT38" s="1" t="str">
        <f>IF(ISBLANK(Prices!AT36),"",Prices!AT36)</f>
        <v/>
      </c>
      <c r="AU38" s="1" t="str">
        <f>IF(ISBLANK(Prices!AU36),"",Prices!AU36)</f>
        <v/>
      </c>
      <c r="AV38" s="1" t="str">
        <f>IF(ISBLANK(Prices!AV36),"",Prices!AV36)</f>
        <v/>
      </c>
      <c r="AW38" s="1" t="str">
        <f>IF(ISBLANK(Prices!AW36),"",Prices!AW36)</f>
        <v/>
      </c>
      <c r="AX38" s="1" t="str">
        <f>IF(ISBLANK(Prices!AX36),"",Prices!AX36)</f>
        <v/>
      </c>
      <c r="AY38" s="1" t="str">
        <f>IF(ISBLANK(Prices!AY36),"",Prices!AY36)</f>
        <v/>
      </c>
      <c r="AZ38" s="1" t="str">
        <f>IF(ISBLANK(Prices!AZ36),"",Prices!AZ36)</f>
        <v/>
      </c>
      <c r="BA38" s="1" t="str">
        <f>IF(ISBLANK(Prices!BA36),"",Prices!BA36)</f>
        <v/>
      </c>
      <c r="BB38" s="1" t="str">
        <f>IF(ISBLANK(Prices!BB36),"",Prices!BB36)</f>
        <v/>
      </c>
      <c r="BC38" s="1" t="str">
        <f>IF(ISBLANK(Prices!BC36),"",Prices!BC36)</f>
        <v/>
      </c>
      <c r="BD38" s="1" t="str">
        <f>IF(ISBLANK(Prices!BD36),"",Prices!BD36)</f>
        <v/>
      </c>
      <c r="BE38" s="1" t="str">
        <f>IF(ISBLANK(Prices!BE36),"",Prices!BE36)</f>
        <v/>
      </c>
      <c r="BF38" s="1" t="str">
        <f>IF(ISBLANK(Prices!BF36),"",Prices!BF36)</f>
        <v/>
      </c>
      <c r="BG38" s="1" t="str">
        <f>IF(ISBLANK(Prices!BG36),"",Prices!BG36)</f>
        <v/>
      </c>
      <c r="BH38" s="1" t="str">
        <f>IF(ISBLANK(Prices!BH36),"",Prices!BH36)</f>
        <v/>
      </c>
      <c r="BI38" s="1" t="str">
        <f>IF(ISBLANK(Prices!BI36),"",Prices!BI36)</f>
        <v/>
      </c>
      <c r="BJ38" s="1" t="str">
        <f>IF(ISBLANK(Prices!BJ36),"",Prices!BJ36)</f>
        <v/>
      </c>
      <c r="BK38" s="1" t="str">
        <f>IF(ISBLANK(Prices!BK36),"",Prices!BK36)</f>
        <v/>
      </c>
      <c r="BL38" s="1" t="str">
        <f>IF(ISBLANK(Prices!BL36),"",Prices!BL36)</f>
        <v/>
      </c>
      <c r="BM38" s="1" t="str">
        <f>IF(ISBLANK(Prices!BM36),"",Prices!BM36)</f>
        <v/>
      </c>
      <c r="BN38" s="1" t="str">
        <f>IF(ISBLANK(Prices!BN36),"",Prices!BN36)</f>
        <v/>
      </c>
      <c r="BO38" s="1" t="str">
        <f>IF(ISBLANK(Prices!BO36),"",Prices!BO36)</f>
        <v/>
      </c>
      <c r="BP38" s="1" t="str">
        <f>IF(ISBLANK(Prices!BP36),"",Prices!BP36)</f>
        <v/>
      </c>
      <c r="BQ38" s="1" t="str">
        <f>IF(ISBLANK(Prices!BQ36),"",Prices!BQ36)</f>
        <v/>
      </c>
      <c r="BR38" s="1" t="str">
        <f>IF(ISBLANK(Prices!BR36),"",Prices!BR36)</f>
        <v/>
      </c>
      <c r="BS38" s="1" t="str">
        <f>IF(ISBLANK(Prices!BS36),"",Prices!BS36)</f>
        <v/>
      </c>
      <c r="BT38" s="1" t="str">
        <f>IF(ISBLANK(Prices!BT36),"",Prices!BT36)</f>
        <v/>
      </c>
      <c r="BU38" s="1" t="str">
        <f>IF(ISBLANK(Prices!BU36),"",Prices!BU36)</f>
        <v/>
      </c>
      <c r="BV38" s="1" t="str">
        <f>IF(ISBLANK(Prices!BV36),"",Prices!BV36)</f>
        <v/>
      </c>
      <c r="BW38" s="1" t="str">
        <f>IF(ISBLANK(Prices!BW36),"",Prices!BW36)</f>
        <v/>
      </c>
      <c r="BX38" s="1" t="str">
        <f>IF(ISBLANK(Prices!BX36),"",Prices!BX36)</f>
        <v/>
      </c>
      <c r="BY38" s="1" t="str">
        <f>IF(ISBLANK(Prices!BY36),"",Prices!BY36)</f>
        <v/>
      </c>
      <c r="BZ38" s="1" t="str">
        <f>IF(ISBLANK(Prices!BZ36),"",Prices!BZ36)</f>
        <v/>
      </c>
      <c r="CA38" s="1" t="str">
        <f>IF(ISBLANK(Prices!CA36),"",Prices!CA36)</f>
        <v/>
      </c>
      <c r="CB38" s="1" t="str">
        <f>IF(ISBLANK(Prices!CB36),"",Prices!CB36)</f>
        <v/>
      </c>
      <c r="CC38" s="1" t="str">
        <f>IF(ISBLANK(Prices!CC36),"",Prices!CC36)</f>
        <v/>
      </c>
      <c r="CD38" s="1" t="str">
        <f>IF(ISBLANK(Prices!CD36),"",Prices!CD36)</f>
        <v/>
      </c>
      <c r="CE38" s="1" t="str">
        <f>IF(ISBLANK(Prices!CE36),"",Prices!CE36)</f>
        <v/>
      </c>
      <c r="CF38" s="1" t="str">
        <f>IF(ISBLANK(Prices!CF36),"",Prices!CF36)</f>
        <v/>
      </c>
      <c r="CG38" s="1" t="str">
        <f>IF(ISBLANK(Prices!CG36),"",Prices!CG36)</f>
        <v/>
      </c>
      <c r="CH38" s="1" t="str">
        <f>IF(ISBLANK(Prices!CH36),"",Prices!CH36)</f>
        <v/>
      </c>
      <c r="CI38" s="1" t="str">
        <f>IF(ISBLANK(Prices!CI36),"",Prices!CI36)</f>
        <v/>
      </c>
      <c r="CJ38" s="1" t="str">
        <f>IF(ISBLANK(Prices!CJ36),"",Prices!CJ36)</f>
        <v/>
      </c>
      <c r="CK38" s="1" t="str">
        <f>IF(ISBLANK(Prices!CK36),"",Prices!CK36)</f>
        <v/>
      </c>
      <c r="CL38" s="1" t="str">
        <f>IF(ISBLANK(Prices!CL36),"",Prices!CL36)</f>
        <v/>
      </c>
      <c r="CM38" s="1" t="str">
        <f>IF(ISBLANK(Prices!CM36),"",Prices!CM36)</f>
        <v/>
      </c>
      <c r="CN38" s="1" t="str">
        <f>IF(ISBLANK(Prices!CN36),"",Prices!CN36)</f>
        <v/>
      </c>
    </row>
    <row r="39" spans="2:92" x14ac:dyDescent="0.25">
      <c r="B39" s="1" t="str">
        <f>IF(ISBLANK(Prices!A37),"",Prices!A37)</f>
        <v/>
      </c>
      <c r="C39" s="1" t="str">
        <f>IF(ISBLANK(Prices!C37),"",Prices!C37)</f>
        <v/>
      </c>
      <c r="D39" s="1" t="str">
        <f>IF(ISBLANK(Prices!D37),"",Prices!D37)</f>
        <v/>
      </c>
      <c r="E39" s="1" t="str">
        <f>IF(ISBLANK(Prices!E37),"",Prices!E37)</f>
        <v/>
      </c>
      <c r="F39" s="1" t="str">
        <f>IF(ISBLANK(Prices!F37),"",Prices!F37)</f>
        <v/>
      </c>
      <c r="G39" s="1" t="str">
        <f>IF(ISBLANK(Prices!G37),"",Prices!G37)</f>
        <v/>
      </c>
      <c r="H39" s="1" t="str">
        <f>IF(ISBLANK(Prices!H37),"",Prices!H37)</f>
        <v/>
      </c>
      <c r="I39" s="1" t="str">
        <f>IF(ISBLANK(Prices!I37),"",Prices!I37)</f>
        <v/>
      </c>
      <c r="J39" s="1" t="str">
        <f>IF(ISBLANK(Prices!J37),"",Prices!J37)</f>
        <v/>
      </c>
      <c r="K39" s="1" t="str">
        <f>IF(ISBLANK(Prices!K37),"",Prices!K37)</f>
        <v/>
      </c>
      <c r="L39" s="1" t="str">
        <f>IF(ISBLANK(Prices!L37),"",Prices!L37)</f>
        <v/>
      </c>
      <c r="M39" s="1" t="str">
        <f>IF(ISBLANK(Prices!M37),"",Prices!M37)</f>
        <v/>
      </c>
      <c r="N39" s="1" t="str">
        <f>IF(ISBLANK(Prices!N37),"",Prices!N37)</f>
        <v/>
      </c>
      <c r="O39" s="1" t="str">
        <f>IF(ISBLANK(Prices!O37),"",Prices!O37)</f>
        <v/>
      </c>
      <c r="P39" s="1" t="str">
        <f>IF(ISBLANK(Prices!P37),"",Prices!P37)</f>
        <v/>
      </c>
      <c r="Q39" s="1" t="str">
        <f>IF(ISBLANK(Prices!Q37),"",Prices!Q37)</f>
        <v/>
      </c>
      <c r="R39" s="1" t="str">
        <f>IF(ISBLANK(Prices!R37),"",Prices!R37)</f>
        <v/>
      </c>
      <c r="S39" s="1" t="str">
        <f>IF(ISBLANK(Prices!S37),"",Prices!S37)</f>
        <v/>
      </c>
      <c r="T39" s="1" t="str">
        <f>IF(ISBLANK(Prices!T37),"",Prices!T37)</f>
        <v/>
      </c>
      <c r="U39" s="1" t="str">
        <f>IF(ISBLANK(Prices!U37),"",Prices!U37)</f>
        <v/>
      </c>
      <c r="V39" s="1" t="str">
        <f>IF(ISBLANK(Prices!V37),"",Prices!V37)</f>
        <v/>
      </c>
      <c r="W39" s="1" t="str">
        <f>IF(ISBLANK(Prices!W37),"",Prices!W37)</f>
        <v/>
      </c>
      <c r="X39" s="1" t="str">
        <f>IF(ISBLANK(Prices!X37),"",Prices!X37)</f>
        <v/>
      </c>
      <c r="Y39" s="1" t="str">
        <f>IF(ISBLANK(Prices!Y37),"",Prices!Y37)</f>
        <v/>
      </c>
      <c r="Z39" s="1" t="str">
        <f>IF(ISBLANK(Prices!Z37),"",Prices!Z37)</f>
        <v/>
      </c>
      <c r="AA39" s="1" t="str">
        <f>IF(ISBLANK(Prices!AA37),"",Prices!AA37)</f>
        <v/>
      </c>
      <c r="AB39" s="1" t="str">
        <f>IF(ISBLANK(Prices!AB37),"",Prices!AB37)</f>
        <v/>
      </c>
      <c r="AC39" s="1" t="str">
        <f>IF(ISBLANK(Prices!AC37),"",Prices!AC37)</f>
        <v/>
      </c>
      <c r="AD39" s="1" t="str">
        <f>IF(ISBLANK(Prices!AD37),"",Prices!AD37)</f>
        <v/>
      </c>
      <c r="AE39" s="1" t="str">
        <f>IF(ISBLANK(Prices!AE37),"",Prices!AE37)</f>
        <v/>
      </c>
      <c r="AF39" s="1" t="str">
        <f>IF(ISBLANK(Prices!AF37),"",Prices!AF37)</f>
        <v/>
      </c>
      <c r="AG39" s="1" t="str">
        <f>IF(ISBLANK(Prices!AG37),"",Prices!AG37)</f>
        <v/>
      </c>
      <c r="AH39" s="1" t="str">
        <f>IF(ISBLANK(Prices!AH37),"",Prices!AH37)</f>
        <v/>
      </c>
      <c r="AI39" s="1" t="str">
        <f>IF(ISBLANK(Prices!AI37),"",Prices!AI37)</f>
        <v/>
      </c>
      <c r="AJ39" s="1" t="str">
        <f>IF(ISBLANK(Prices!AJ37),"",Prices!AJ37)</f>
        <v/>
      </c>
      <c r="AK39" s="1" t="str">
        <f>IF(ISBLANK(Prices!AK37),"",Prices!AK37)</f>
        <v/>
      </c>
      <c r="AL39" s="1" t="str">
        <f>IF(ISBLANK(Prices!AL37),"",Prices!AL37)</f>
        <v/>
      </c>
      <c r="AM39" s="1" t="str">
        <f>IF(ISBLANK(Prices!AM37),"",Prices!AM37)</f>
        <v/>
      </c>
      <c r="AN39" s="1" t="str">
        <f>IF(ISBLANK(Prices!AN37),"",Prices!AN37)</f>
        <v/>
      </c>
      <c r="AO39" s="1" t="str">
        <f>IF(ISBLANK(Prices!AO37),"",Prices!AO37)</f>
        <v/>
      </c>
      <c r="AP39" s="1" t="str">
        <f>IF(ISBLANK(Prices!AP37),"",Prices!AP37)</f>
        <v/>
      </c>
      <c r="AQ39" s="1" t="str">
        <f>IF(ISBLANK(Prices!AQ37),"",Prices!AQ37)</f>
        <v/>
      </c>
      <c r="AR39" s="1" t="str">
        <f>IF(ISBLANK(Prices!AR37),"",Prices!AR37)</f>
        <v/>
      </c>
      <c r="AS39" s="1" t="str">
        <f>IF(ISBLANK(Prices!AS37),"",Prices!AS37)</f>
        <v/>
      </c>
      <c r="AT39" s="1" t="str">
        <f>IF(ISBLANK(Prices!AT37),"",Prices!AT37)</f>
        <v/>
      </c>
      <c r="AU39" s="1" t="str">
        <f>IF(ISBLANK(Prices!AU37),"",Prices!AU37)</f>
        <v/>
      </c>
      <c r="AV39" s="1" t="str">
        <f>IF(ISBLANK(Prices!AV37),"",Prices!AV37)</f>
        <v/>
      </c>
      <c r="AW39" s="1" t="str">
        <f>IF(ISBLANK(Prices!AW37),"",Prices!AW37)</f>
        <v/>
      </c>
      <c r="AX39" s="1" t="str">
        <f>IF(ISBLANK(Prices!AX37),"",Prices!AX37)</f>
        <v/>
      </c>
      <c r="AY39" s="1" t="str">
        <f>IF(ISBLANK(Prices!AY37),"",Prices!AY37)</f>
        <v/>
      </c>
      <c r="AZ39" s="1" t="str">
        <f>IF(ISBLANK(Prices!AZ37),"",Prices!AZ37)</f>
        <v/>
      </c>
      <c r="BA39" s="1" t="str">
        <f>IF(ISBLANK(Prices!BA37),"",Prices!BA37)</f>
        <v/>
      </c>
      <c r="BB39" s="1" t="str">
        <f>IF(ISBLANK(Prices!BB37),"",Prices!BB37)</f>
        <v/>
      </c>
      <c r="BC39" s="1" t="str">
        <f>IF(ISBLANK(Prices!BC37),"",Prices!BC37)</f>
        <v/>
      </c>
      <c r="BD39" s="1" t="str">
        <f>IF(ISBLANK(Prices!BD37),"",Prices!BD37)</f>
        <v/>
      </c>
      <c r="BE39" s="1" t="str">
        <f>IF(ISBLANK(Prices!BE37),"",Prices!BE37)</f>
        <v/>
      </c>
      <c r="BF39" s="1" t="str">
        <f>IF(ISBLANK(Prices!BF37),"",Prices!BF37)</f>
        <v/>
      </c>
      <c r="BG39" s="1" t="str">
        <f>IF(ISBLANK(Prices!BG37),"",Prices!BG37)</f>
        <v/>
      </c>
      <c r="BH39" s="1" t="str">
        <f>IF(ISBLANK(Prices!BH37),"",Prices!BH37)</f>
        <v/>
      </c>
      <c r="BI39" s="1" t="str">
        <f>IF(ISBLANK(Prices!BI37),"",Prices!BI37)</f>
        <v/>
      </c>
      <c r="BJ39" s="1" t="str">
        <f>IF(ISBLANK(Prices!BJ37),"",Prices!BJ37)</f>
        <v/>
      </c>
      <c r="BK39" s="1" t="str">
        <f>IF(ISBLANK(Prices!BK37),"",Prices!BK37)</f>
        <v/>
      </c>
      <c r="BL39" s="1" t="str">
        <f>IF(ISBLANK(Prices!BL37),"",Prices!BL37)</f>
        <v/>
      </c>
      <c r="BM39" s="1" t="str">
        <f>IF(ISBLANK(Prices!BM37),"",Prices!BM37)</f>
        <v/>
      </c>
      <c r="BN39" s="1" t="str">
        <f>IF(ISBLANK(Prices!BN37),"",Prices!BN37)</f>
        <v/>
      </c>
      <c r="BO39" s="1" t="str">
        <f>IF(ISBLANK(Prices!BO37),"",Prices!BO37)</f>
        <v/>
      </c>
      <c r="BP39" s="1" t="str">
        <f>IF(ISBLANK(Prices!BP37),"",Prices!BP37)</f>
        <v/>
      </c>
      <c r="BQ39" s="1" t="str">
        <f>IF(ISBLANK(Prices!BQ37),"",Prices!BQ37)</f>
        <v/>
      </c>
      <c r="BR39" s="1" t="str">
        <f>IF(ISBLANK(Prices!BR37),"",Prices!BR37)</f>
        <v/>
      </c>
      <c r="BS39" s="1" t="str">
        <f>IF(ISBLANK(Prices!BS37),"",Prices!BS37)</f>
        <v/>
      </c>
      <c r="BT39" s="1" t="str">
        <f>IF(ISBLANK(Prices!BT37),"",Prices!BT37)</f>
        <v/>
      </c>
      <c r="BU39" s="1" t="str">
        <f>IF(ISBLANK(Prices!BU37),"",Prices!BU37)</f>
        <v/>
      </c>
      <c r="BV39" s="1" t="str">
        <f>IF(ISBLANK(Prices!BV37),"",Prices!BV37)</f>
        <v/>
      </c>
      <c r="BW39" s="1" t="str">
        <f>IF(ISBLANK(Prices!BW37),"",Prices!BW37)</f>
        <v/>
      </c>
      <c r="BX39" s="1" t="str">
        <f>IF(ISBLANK(Prices!BX37),"",Prices!BX37)</f>
        <v/>
      </c>
      <c r="BY39" s="1" t="str">
        <f>IF(ISBLANK(Prices!BY37),"",Prices!BY37)</f>
        <v/>
      </c>
      <c r="BZ39" s="1" t="str">
        <f>IF(ISBLANK(Prices!BZ37),"",Prices!BZ37)</f>
        <v/>
      </c>
      <c r="CA39" s="1" t="str">
        <f>IF(ISBLANK(Prices!CA37),"",Prices!CA37)</f>
        <v/>
      </c>
      <c r="CB39" s="1" t="str">
        <f>IF(ISBLANK(Prices!CB37),"",Prices!CB37)</f>
        <v/>
      </c>
      <c r="CC39" s="1" t="str">
        <f>IF(ISBLANK(Prices!CC37),"",Prices!CC37)</f>
        <v/>
      </c>
      <c r="CD39" s="1" t="str">
        <f>IF(ISBLANK(Prices!CD37),"",Prices!CD37)</f>
        <v/>
      </c>
      <c r="CE39" s="1" t="str">
        <f>IF(ISBLANK(Prices!CE37),"",Prices!CE37)</f>
        <v/>
      </c>
      <c r="CF39" s="1" t="str">
        <f>IF(ISBLANK(Prices!CF37),"",Prices!CF37)</f>
        <v/>
      </c>
      <c r="CG39" s="1" t="str">
        <f>IF(ISBLANK(Prices!CG37),"",Prices!CG37)</f>
        <v/>
      </c>
      <c r="CH39" s="1" t="str">
        <f>IF(ISBLANK(Prices!CH37),"",Prices!CH37)</f>
        <v/>
      </c>
      <c r="CI39" s="1" t="str">
        <f>IF(ISBLANK(Prices!CI37),"",Prices!CI37)</f>
        <v/>
      </c>
      <c r="CJ39" s="1" t="str">
        <f>IF(ISBLANK(Prices!CJ37),"",Prices!CJ37)</f>
        <v/>
      </c>
      <c r="CK39" s="1" t="str">
        <f>IF(ISBLANK(Prices!CK37),"",Prices!CK37)</f>
        <v/>
      </c>
      <c r="CL39" s="1" t="str">
        <f>IF(ISBLANK(Prices!CL37),"",Prices!CL37)</f>
        <v/>
      </c>
      <c r="CM39" s="1" t="str">
        <f>IF(ISBLANK(Prices!CM37),"",Prices!CM37)</f>
        <v/>
      </c>
      <c r="CN39" s="1" t="str">
        <f>IF(ISBLANK(Prices!CN37),"",Prices!CN37)</f>
        <v/>
      </c>
    </row>
    <row r="40" spans="2:92" x14ac:dyDescent="0.25">
      <c r="B40" s="1" t="str">
        <f>IF(ISBLANK(Prices!A38),"",Prices!A38)</f>
        <v/>
      </c>
      <c r="C40" s="1" t="str">
        <f>IF(ISBLANK(Prices!C38),"",Prices!C38)</f>
        <v/>
      </c>
      <c r="D40" s="1" t="str">
        <f>IF(ISBLANK(Prices!D38),"",Prices!D38)</f>
        <v/>
      </c>
      <c r="E40" s="1" t="str">
        <f>IF(ISBLANK(Prices!E38),"",Prices!E38)</f>
        <v/>
      </c>
      <c r="F40" s="1" t="str">
        <f>IF(ISBLANK(Prices!F38),"",Prices!F38)</f>
        <v/>
      </c>
      <c r="G40" s="1" t="str">
        <f>IF(ISBLANK(Prices!G38),"",Prices!G38)</f>
        <v/>
      </c>
      <c r="H40" s="1" t="str">
        <f>IF(ISBLANK(Prices!H38),"",Prices!H38)</f>
        <v/>
      </c>
      <c r="I40" s="1" t="str">
        <f>IF(ISBLANK(Prices!I38),"",Prices!I38)</f>
        <v/>
      </c>
      <c r="J40" s="1" t="str">
        <f>IF(ISBLANK(Prices!J38),"",Prices!J38)</f>
        <v/>
      </c>
      <c r="K40" s="1" t="str">
        <f>IF(ISBLANK(Prices!K38),"",Prices!K38)</f>
        <v/>
      </c>
      <c r="L40" s="1" t="str">
        <f>IF(ISBLANK(Prices!L38),"",Prices!L38)</f>
        <v/>
      </c>
      <c r="M40" s="1" t="str">
        <f>IF(ISBLANK(Prices!M38),"",Prices!M38)</f>
        <v/>
      </c>
      <c r="N40" s="1" t="str">
        <f>IF(ISBLANK(Prices!N38),"",Prices!N38)</f>
        <v/>
      </c>
      <c r="O40" s="1" t="str">
        <f>IF(ISBLANK(Prices!O38),"",Prices!O38)</f>
        <v/>
      </c>
      <c r="P40" s="1" t="str">
        <f>IF(ISBLANK(Prices!P38),"",Prices!P38)</f>
        <v/>
      </c>
      <c r="Q40" s="1" t="str">
        <f>IF(ISBLANK(Prices!Q38),"",Prices!Q38)</f>
        <v/>
      </c>
      <c r="R40" s="1" t="str">
        <f>IF(ISBLANK(Prices!R38),"",Prices!R38)</f>
        <v/>
      </c>
      <c r="S40" s="1" t="str">
        <f>IF(ISBLANK(Prices!S38),"",Prices!S38)</f>
        <v/>
      </c>
      <c r="T40" s="1" t="str">
        <f>IF(ISBLANK(Prices!T38),"",Prices!T38)</f>
        <v/>
      </c>
      <c r="U40" s="1" t="str">
        <f>IF(ISBLANK(Prices!U38),"",Prices!U38)</f>
        <v/>
      </c>
      <c r="V40" s="1" t="str">
        <f>IF(ISBLANK(Prices!V38),"",Prices!V38)</f>
        <v/>
      </c>
      <c r="W40" s="1" t="str">
        <f>IF(ISBLANK(Prices!W38),"",Prices!W38)</f>
        <v/>
      </c>
      <c r="X40" s="1" t="str">
        <f>IF(ISBLANK(Prices!X38),"",Prices!X38)</f>
        <v/>
      </c>
      <c r="Y40" s="1" t="str">
        <f>IF(ISBLANK(Prices!Y38),"",Prices!Y38)</f>
        <v/>
      </c>
      <c r="Z40" s="1" t="str">
        <f>IF(ISBLANK(Prices!Z38),"",Prices!Z38)</f>
        <v/>
      </c>
      <c r="AA40" s="1" t="str">
        <f>IF(ISBLANK(Prices!AA38),"",Prices!AA38)</f>
        <v/>
      </c>
      <c r="AB40" s="1" t="str">
        <f>IF(ISBLANK(Prices!AB38),"",Prices!AB38)</f>
        <v/>
      </c>
      <c r="AC40" s="1" t="str">
        <f>IF(ISBLANK(Prices!AC38),"",Prices!AC38)</f>
        <v/>
      </c>
      <c r="AD40" s="1" t="str">
        <f>IF(ISBLANK(Prices!AD38),"",Prices!AD38)</f>
        <v/>
      </c>
      <c r="AE40" s="1" t="str">
        <f>IF(ISBLANK(Prices!AE38),"",Prices!AE38)</f>
        <v/>
      </c>
      <c r="AF40" s="1" t="str">
        <f>IF(ISBLANK(Prices!AF38),"",Prices!AF38)</f>
        <v/>
      </c>
      <c r="AG40" s="1" t="str">
        <f>IF(ISBLANK(Prices!AG38),"",Prices!AG38)</f>
        <v/>
      </c>
      <c r="AH40" s="1" t="str">
        <f>IF(ISBLANK(Prices!AH38),"",Prices!AH38)</f>
        <v/>
      </c>
      <c r="AI40" s="1" t="str">
        <f>IF(ISBLANK(Prices!AI38),"",Prices!AI38)</f>
        <v/>
      </c>
      <c r="AJ40" s="1" t="str">
        <f>IF(ISBLANK(Prices!AJ38),"",Prices!AJ38)</f>
        <v/>
      </c>
      <c r="AK40" s="1" t="str">
        <f>IF(ISBLANK(Prices!AK38),"",Prices!AK38)</f>
        <v/>
      </c>
      <c r="AL40" s="1" t="str">
        <f>IF(ISBLANK(Prices!AL38),"",Prices!AL38)</f>
        <v/>
      </c>
      <c r="AM40" s="1" t="str">
        <f>IF(ISBLANK(Prices!AM38),"",Prices!AM38)</f>
        <v/>
      </c>
      <c r="AN40" s="1" t="str">
        <f>IF(ISBLANK(Prices!AN38),"",Prices!AN38)</f>
        <v/>
      </c>
      <c r="AO40" s="1" t="str">
        <f>IF(ISBLANK(Prices!AO38),"",Prices!AO38)</f>
        <v/>
      </c>
      <c r="AP40" s="1" t="str">
        <f>IF(ISBLANK(Prices!AP38),"",Prices!AP38)</f>
        <v/>
      </c>
      <c r="AQ40" s="1" t="str">
        <f>IF(ISBLANK(Prices!AQ38),"",Prices!AQ38)</f>
        <v/>
      </c>
      <c r="AR40" s="1" t="str">
        <f>IF(ISBLANK(Prices!AR38),"",Prices!AR38)</f>
        <v/>
      </c>
      <c r="AS40" s="1" t="str">
        <f>IF(ISBLANK(Prices!AS38),"",Prices!AS38)</f>
        <v/>
      </c>
      <c r="AT40" s="1" t="str">
        <f>IF(ISBLANK(Prices!AT38),"",Prices!AT38)</f>
        <v/>
      </c>
      <c r="AU40" s="1" t="str">
        <f>IF(ISBLANK(Prices!AU38),"",Prices!AU38)</f>
        <v/>
      </c>
      <c r="AV40" s="1" t="str">
        <f>IF(ISBLANK(Prices!AV38),"",Prices!AV38)</f>
        <v/>
      </c>
      <c r="AW40" s="1" t="str">
        <f>IF(ISBLANK(Prices!AW38),"",Prices!AW38)</f>
        <v/>
      </c>
      <c r="AX40" s="1" t="str">
        <f>IF(ISBLANK(Prices!AX38),"",Prices!AX38)</f>
        <v/>
      </c>
      <c r="AY40" s="1" t="str">
        <f>IF(ISBLANK(Prices!AY38),"",Prices!AY38)</f>
        <v/>
      </c>
      <c r="AZ40" s="1" t="str">
        <f>IF(ISBLANK(Prices!AZ38),"",Prices!AZ38)</f>
        <v/>
      </c>
      <c r="BA40" s="1" t="str">
        <f>IF(ISBLANK(Prices!BA38),"",Prices!BA38)</f>
        <v/>
      </c>
      <c r="BB40" s="1" t="str">
        <f>IF(ISBLANK(Prices!BB38),"",Prices!BB38)</f>
        <v/>
      </c>
      <c r="BC40" s="1" t="str">
        <f>IF(ISBLANK(Prices!BC38),"",Prices!BC38)</f>
        <v/>
      </c>
      <c r="BD40" s="1" t="str">
        <f>IF(ISBLANK(Prices!BD38),"",Prices!BD38)</f>
        <v/>
      </c>
      <c r="BE40" s="1" t="str">
        <f>IF(ISBLANK(Prices!BE38),"",Prices!BE38)</f>
        <v/>
      </c>
      <c r="BF40" s="1" t="str">
        <f>IF(ISBLANK(Prices!BF38),"",Prices!BF38)</f>
        <v/>
      </c>
      <c r="BG40" s="1" t="str">
        <f>IF(ISBLANK(Prices!BG38),"",Prices!BG38)</f>
        <v/>
      </c>
      <c r="BH40" s="1" t="str">
        <f>IF(ISBLANK(Prices!BH38),"",Prices!BH38)</f>
        <v/>
      </c>
      <c r="BI40" s="1" t="str">
        <f>IF(ISBLANK(Prices!BI38),"",Prices!BI38)</f>
        <v/>
      </c>
      <c r="BJ40" s="1" t="str">
        <f>IF(ISBLANK(Prices!BJ38),"",Prices!BJ38)</f>
        <v/>
      </c>
      <c r="BK40" s="1" t="str">
        <f>IF(ISBLANK(Prices!BK38),"",Prices!BK38)</f>
        <v/>
      </c>
      <c r="BL40" s="1" t="str">
        <f>IF(ISBLANK(Prices!BL38),"",Prices!BL38)</f>
        <v/>
      </c>
      <c r="BM40" s="1" t="str">
        <f>IF(ISBLANK(Prices!BM38),"",Prices!BM38)</f>
        <v/>
      </c>
      <c r="BN40" s="1" t="str">
        <f>IF(ISBLANK(Prices!BN38),"",Prices!BN38)</f>
        <v/>
      </c>
      <c r="BO40" s="1" t="str">
        <f>IF(ISBLANK(Prices!BO38),"",Prices!BO38)</f>
        <v/>
      </c>
      <c r="BP40" s="1" t="str">
        <f>IF(ISBLANK(Prices!BP38),"",Prices!BP38)</f>
        <v/>
      </c>
      <c r="BQ40" s="1" t="str">
        <f>IF(ISBLANK(Prices!BQ38),"",Prices!BQ38)</f>
        <v/>
      </c>
      <c r="BR40" s="1" t="str">
        <f>IF(ISBLANK(Prices!BR38),"",Prices!BR38)</f>
        <v/>
      </c>
      <c r="BS40" s="1" t="str">
        <f>IF(ISBLANK(Prices!BS38),"",Prices!BS38)</f>
        <v/>
      </c>
      <c r="BT40" s="1" t="str">
        <f>IF(ISBLANK(Prices!BT38),"",Prices!BT38)</f>
        <v/>
      </c>
      <c r="BU40" s="1" t="str">
        <f>IF(ISBLANK(Prices!BU38),"",Prices!BU38)</f>
        <v/>
      </c>
      <c r="BV40" s="1" t="str">
        <f>IF(ISBLANK(Prices!BV38),"",Prices!BV38)</f>
        <v/>
      </c>
      <c r="BW40" s="1" t="str">
        <f>IF(ISBLANK(Prices!BW38),"",Prices!BW38)</f>
        <v/>
      </c>
      <c r="BX40" s="1" t="str">
        <f>IF(ISBLANK(Prices!BX38),"",Prices!BX38)</f>
        <v/>
      </c>
      <c r="BY40" s="1" t="str">
        <f>IF(ISBLANK(Prices!BY38),"",Prices!BY38)</f>
        <v/>
      </c>
      <c r="BZ40" s="1" t="str">
        <f>IF(ISBLANK(Prices!BZ38),"",Prices!BZ38)</f>
        <v/>
      </c>
      <c r="CA40" s="1" t="str">
        <f>IF(ISBLANK(Prices!CA38),"",Prices!CA38)</f>
        <v/>
      </c>
      <c r="CB40" s="1" t="str">
        <f>IF(ISBLANK(Prices!CB38),"",Prices!CB38)</f>
        <v/>
      </c>
      <c r="CC40" s="1" t="str">
        <f>IF(ISBLANK(Prices!CC38),"",Prices!CC38)</f>
        <v/>
      </c>
      <c r="CD40" s="1" t="str">
        <f>IF(ISBLANK(Prices!CD38),"",Prices!CD38)</f>
        <v/>
      </c>
      <c r="CE40" s="1" t="str">
        <f>IF(ISBLANK(Prices!CE38),"",Prices!CE38)</f>
        <v/>
      </c>
      <c r="CF40" s="1" t="str">
        <f>IF(ISBLANK(Prices!CF38),"",Prices!CF38)</f>
        <v/>
      </c>
      <c r="CG40" s="1" t="str">
        <f>IF(ISBLANK(Prices!CG38),"",Prices!CG38)</f>
        <v/>
      </c>
      <c r="CH40" s="1" t="str">
        <f>IF(ISBLANK(Prices!CH38),"",Prices!CH38)</f>
        <v/>
      </c>
      <c r="CI40" s="1" t="str">
        <f>IF(ISBLANK(Prices!CI38),"",Prices!CI38)</f>
        <v/>
      </c>
      <c r="CJ40" s="1" t="str">
        <f>IF(ISBLANK(Prices!CJ38),"",Prices!CJ38)</f>
        <v/>
      </c>
      <c r="CK40" s="1" t="str">
        <f>IF(ISBLANK(Prices!CK38),"",Prices!CK38)</f>
        <v/>
      </c>
      <c r="CL40" s="1" t="str">
        <f>IF(ISBLANK(Prices!CL38),"",Prices!CL38)</f>
        <v/>
      </c>
      <c r="CM40" s="1" t="str">
        <f>IF(ISBLANK(Prices!CM38),"",Prices!CM38)</f>
        <v/>
      </c>
      <c r="CN40" s="1" t="str">
        <f>IF(ISBLANK(Prices!CN38),"",Prices!CN38)</f>
        <v/>
      </c>
    </row>
    <row r="41" spans="2:92" x14ac:dyDescent="0.25">
      <c r="B41" s="1" t="str">
        <f>IF(ISBLANK(Prices!A39),"",Prices!A39)</f>
        <v/>
      </c>
      <c r="C41" s="1" t="str">
        <f>IF(ISBLANK(Prices!C39),"",Prices!C39)</f>
        <v/>
      </c>
      <c r="D41" s="1" t="str">
        <f>IF(ISBLANK(Prices!D39),"",Prices!D39)</f>
        <v/>
      </c>
      <c r="E41" s="1" t="str">
        <f>IF(ISBLANK(Prices!E39),"",Prices!E39)</f>
        <v/>
      </c>
      <c r="F41" s="1" t="str">
        <f>IF(ISBLANK(Prices!F39),"",Prices!F39)</f>
        <v/>
      </c>
      <c r="G41" s="1" t="str">
        <f>IF(ISBLANK(Prices!G39),"",Prices!G39)</f>
        <v/>
      </c>
      <c r="H41" s="1" t="str">
        <f>IF(ISBLANK(Prices!H39),"",Prices!H39)</f>
        <v/>
      </c>
      <c r="I41" s="1" t="str">
        <f>IF(ISBLANK(Prices!I39),"",Prices!I39)</f>
        <v/>
      </c>
      <c r="J41" s="1" t="str">
        <f>IF(ISBLANK(Prices!J39),"",Prices!J39)</f>
        <v/>
      </c>
      <c r="K41" s="1" t="str">
        <f>IF(ISBLANK(Prices!K39),"",Prices!K39)</f>
        <v/>
      </c>
      <c r="L41" s="1" t="str">
        <f>IF(ISBLANK(Prices!L39),"",Prices!L39)</f>
        <v/>
      </c>
      <c r="M41" s="1" t="str">
        <f>IF(ISBLANK(Prices!M39),"",Prices!M39)</f>
        <v/>
      </c>
      <c r="N41" s="1" t="str">
        <f>IF(ISBLANK(Prices!N39),"",Prices!N39)</f>
        <v/>
      </c>
      <c r="O41" s="1" t="str">
        <f>IF(ISBLANK(Prices!O39),"",Prices!O39)</f>
        <v/>
      </c>
      <c r="P41" s="1" t="str">
        <f>IF(ISBLANK(Prices!P39),"",Prices!P39)</f>
        <v/>
      </c>
      <c r="Q41" s="1" t="str">
        <f>IF(ISBLANK(Prices!Q39),"",Prices!Q39)</f>
        <v/>
      </c>
      <c r="R41" s="1" t="str">
        <f>IF(ISBLANK(Prices!R39),"",Prices!R39)</f>
        <v/>
      </c>
      <c r="S41" s="1" t="str">
        <f>IF(ISBLANK(Prices!S39),"",Prices!S39)</f>
        <v/>
      </c>
      <c r="T41" s="1" t="str">
        <f>IF(ISBLANK(Prices!T39),"",Prices!T39)</f>
        <v/>
      </c>
      <c r="U41" s="1" t="str">
        <f>IF(ISBLANK(Prices!U39),"",Prices!U39)</f>
        <v/>
      </c>
      <c r="V41" s="1" t="str">
        <f>IF(ISBLANK(Prices!V39),"",Prices!V39)</f>
        <v/>
      </c>
      <c r="W41" s="1" t="str">
        <f>IF(ISBLANK(Prices!W39),"",Prices!W39)</f>
        <v/>
      </c>
      <c r="X41" s="1" t="str">
        <f>IF(ISBLANK(Prices!X39),"",Prices!X39)</f>
        <v/>
      </c>
      <c r="Y41" s="1" t="str">
        <f>IF(ISBLANK(Prices!Y39),"",Prices!Y39)</f>
        <v/>
      </c>
      <c r="Z41" s="1" t="str">
        <f>IF(ISBLANK(Prices!Z39),"",Prices!Z39)</f>
        <v/>
      </c>
      <c r="AA41" s="1" t="str">
        <f>IF(ISBLANK(Prices!AA39),"",Prices!AA39)</f>
        <v/>
      </c>
      <c r="AB41" s="1" t="str">
        <f>IF(ISBLANK(Prices!AB39),"",Prices!AB39)</f>
        <v/>
      </c>
      <c r="AC41" s="1" t="str">
        <f>IF(ISBLANK(Prices!AC39),"",Prices!AC39)</f>
        <v/>
      </c>
      <c r="AD41" s="1" t="str">
        <f>IF(ISBLANK(Prices!AD39),"",Prices!AD39)</f>
        <v/>
      </c>
      <c r="AE41" s="1" t="str">
        <f>IF(ISBLANK(Prices!AE39),"",Prices!AE39)</f>
        <v/>
      </c>
      <c r="AF41" s="1" t="str">
        <f>IF(ISBLANK(Prices!AF39),"",Prices!AF39)</f>
        <v/>
      </c>
      <c r="AG41" s="1" t="str">
        <f>IF(ISBLANK(Prices!AG39),"",Prices!AG39)</f>
        <v/>
      </c>
      <c r="AH41" s="1" t="str">
        <f>IF(ISBLANK(Prices!AH39),"",Prices!AH39)</f>
        <v/>
      </c>
      <c r="AI41" s="1" t="str">
        <f>IF(ISBLANK(Prices!AI39),"",Prices!AI39)</f>
        <v/>
      </c>
      <c r="AJ41" s="1" t="str">
        <f>IF(ISBLANK(Prices!AJ39),"",Prices!AJ39)</f>
        <v/>
      </c>
      <c r="AK41" s="1" t="str">
        <f>IF(ISBLANK(Prices!AK39),"",Prices!AK39)</f>
        <v/>
      </c>
      <c r="AL41" s="1" t="str">
        <f>IF(ISBLANK(Prices!AL39),"",Prices!AL39)</f>
        <v/>
      </c>
      <c r="AM41" s="1" t="str">
        <f>IF(ISBLANK(Prices!AM39),"",Prices!AM39)</f>
        <v/>
      </c>
      <c r="AN41" s="1" t="str">
        <f>IF(ISBLANK(Prices!AN39),"",Prices!AN39)</f>
        <v/>
      </c>
      <c r="AO41" s="1" t="str">
        <f>IF(ISBLANK(Prices!AO39),"",Prices!AO39)</f>
        <v/>
      </c>
      <c r="AP41" s="1" t="str">
        <f>IF(ISBLANK(Prices!AP39),"",Prices!AP39)</f>
        <v/>
      </c>
      <c r="AQ41" s="1" t="str">
        <f>IF(ISBLANK(Prices!AQ39),"",Prices!AQ39)</f>
        <v/>
      </c>
      <c r="AR41" s="1" t="str">
        <f>IF(ISBLANK(Prices!AR39),"",Prices!AR39)</f>
        <v/>
      </c>
      <c r="AS41" s="1" t="str">
        <f>IF(ISBLANK(Prices!AS39),"",Prices!AS39)</f>
        <v/>
      </c>
      <c r="AT41" s="1" t="str">
        <f>IF(ISBLANK(Prices!AT39),"",Prices!AT39)</f>
        <v/>
      </c>
      <c r="AU41" s="1" t="str">
        <f>IF(ISBLANK(Prices!AU39),"",Prices!AU39)</f>
        <v/>
      </c>
      <c r="AV41" s="1" t="str">
        <f>IF(ISBLANK(Prices!AV39),"",Prices!AV39)</f>
        <v/>
      </c>
      <c r="AW41" s="1" t="str">
        <f>IF(ISBLANK(Prices!AW39),"",Prices!AW39)</f>
        <v/>
      </c>
      <c r="AX41" s="1" t="str">
        <f>IF(ISBLANK(Prices!AX39),"",Prices!AX39)</f>
        <v/>
      </c>
      <c r="AY41" s="1" t="str">
        <f>IF(ISBLANK(Prices!AY39),"",Prices!AY39)</f>
        <v/>
      </c>
      <c r="AZ41" s="1" t="str">
        <f>IF(ISBLANK(Prices!AZ39),"",Prices!AZ39)</f>
        <v/>
      </c>
      <c r="BA41" s="1" t="str">
        <f>IF(ISBLANK(Prices!BA39),"",Prices!BA39)</f>
        <v/>
      </c>
      <c r="BB41" s="1" t="str">
        <f>IF(ISBLANK(Prices!BB39),"",Prices!BB39)</f>
        <v/>
      </c>
      <c r="BC41" s="1" t="str">
        <f>IF(ISBLANK(Prices!BC39),"",Prices!BC39)</f>
        <v/>
      </c>
      <c r="BD41" s="1" t="str">
        <f>IF(ISBLANK(Prices!BD39),"",Prices!BD39)</f>
        <v/>
      </c>
      <c r="BE41" s="1" t="str">
        <f>IF(ISBLANK(Prices!BE39),"",Prices!BE39)</f>
        <v/>
      </c>
      <c r="BF41" s="1" t="str">
        <f>IF(ISBLANK(Prices!BF39),"",Prices!BF39)</f>
        <v/>
      </c>
      <c r="BG41" s="1" t="str">
        <f>IF(ISBLANK(Prices!BG39),"",Prices!BG39)</f>
        <v/>
      </c>
      <c r="BH41" s="1" t="str">
        <f>IF(ISBLANK(Prices!BH39),"",Prices!BH39)</f>
        <v/>
      </c>
      <c r="BI41" s="1" t="str">
        <f>IF(ISBLANK(Prices!BI39),"",Prices!BI39)</f>
        <v/>
      </c>
      <c r="BJ41" s="1" t="str">
        <f>IF(ISBLANK(Prices!BJ39),"",Prices!BJ39)</f>
        <v/>
      </c>
      <c r="BK41" s="1" t="str">
        <f>IF(ISBLANK(Prices!BK39),"",Prices!BK39)</f>
        <v/>
      </c>
      <c r="BL41" s="1" t="str">
        <f>IF(ISBLANK(Prices!BL39),"",Prices!BL39)</f>
        <v/>
      </c>
      <c r="BM41" s="1" t="str">
        <f>IF(ISBLANK(Prices!BM39),"",Prices!BM39)</f>
        <v/>
      </c>
      <c r="BN41" s="1" t="str">
        <f>IF(ISBLANK(Prices!BN39),"",Prices!BN39)</f>
        <v/>
      </c>
      <c r="BO41" s="1" t="str">
        <f>IF(ISBLANK(Prices!BO39),"",Prices!BO39)</f>
        <v/>
      </c>
      <c r="BP41" s="1" t="str">
        <f>IF(ISBLANK(Prices!BP39),"",Prices!BP39)</f>
        <v/>
      </c>
      <c r="BQ41" s="1" t="str">
        <f>IF(ISBLANK(Prices!BQ39),"",Prices!BQ39)</f>
        <v/>
      </c>
      <c r="BR41" s="1" t="str">
        <f>IF(ISBLANK(Prices!BR39),"",Prices!BR39)</f>
        <v/>
      </c>
      <c r="BS41" s="1" t="str">
        <f>IF(ISBLANK(Prices!BS39),"",Prices!BS39)</f>
        <v/>
      </c>
      <c r="BT41" s="1" t="str">
        <f>IF(ISBLANK(Prices!BT39),"",Prices!BT39)</f>
        <v/>
      </c>
      <c r="BU41" s="1" t="str">
        <f>IF(ISBLANK(Prices!BU39),"",Prices!BU39)</f>
        <v/>
      </c>
      <c r="BV41" s="1" t="str">
        <f>IF(ISBLANK(Prices!BV39),"",Prices!BV39)</f>
        <v/>
      </c>
      <c r="BW41" s="1" t="str">
        <f>IF(ISBLANK(Prices!BW39),"",Prices!BW39)</f>
        <v/>
      </c>
      <c r="BX41" s="1" t="str">
        <f>IF(ISBLANK(Prices!BX39),"",Prices!BX39)</f>
        <v/>
      </c>
      <c r="BY41" s="1" t="str">
        <f>IF(ISBLANK(Prices!BY39),"",Prices!BY39)</f>
        <v/>
      </c>
      <c r="BZ41" s="1" t="str">
        <f>IF(ISBLANK(Prices!BZ39),"",Prices!BZ39)</f>
        <v/>
      </c>
      <c r="CA41" s="1" t="str">
        <f>IF(ISBLANK(Prices!CA39),"",Prices!CA39)</f>
        <v/>
      </c>
      <c r="CB41" s="1" t="str">
        <f>IF(ISBLANK(Prices!CB39),"",Prices!CB39)</f>
        <v/>
      </c>
      <c r="CC41" s="1" t="str">
        <f>IF(ISBLANK(Prices!CC39),"",Prices!CC39)</f>
        <v/>
      </c>
      <c r="CD41" s="1" t="str">
        <f>IF(ISBLANK(Prices!CD39),"",Prices!CD39)</f>
        <v/>
      </c>
      <c r="CE41" s="1" t="str">
        <f>IF(ISBLANK(Prices!CE39),"",Prices!CE39)</f>
        <v/>
      </c>
      <c r="CF41" s="1" t="str">
        <f>IF(ISBLANK(Prices!CF39),"",Prices!CF39)</f>
        <v/>
      </c>
      <c r="CG41" s="1" t="str">
        <f>IF(ISBLANK(Prices!CG39),"",Prices!CG39)</f>
        <v/>
      </c>
      <c r="CH41" s="1" t="str">
        <f>IF(ISBLANK(Prices!CH39),"",Prices!CH39)</f>
        <v/>
      </c>
      <c r="CI41" s="1" t="str">
        <f>IF(ISBLANK(Prices!CI39),"",Prices!CI39)</f>
        <v/>
      </c>
      <c r="CJ41" s="1" t="str">
        <f>IF(ISBLANK(Prices!CJ39),"",Prices!CJ39)</f>
        <v/>
      </c>
      <c r="CK41" s="1" t="str">
        <f>IF(ISBLANK(Prices!CK39),"",Prices!CK39)</f>
        <v/>
      </c>
      <c r="CL41" s="1" t="str">
        <f>IF(ISBLANK(Prices!CL39),"",Prices!CL39)</f>
        <v/>
      </c>
      <c r="CM41" s="1" t="str">
        <f>IF(ISBLANK(Prices!CM39),"",Prices!CM39)</f>
        <v/>
      </c>
      <c r="CN41" s="1" t="str">
        <f>IF(ISBLANK(Prices!CN39),"",Prices!CN39)</f>
        <v/>
      </c>
    </row>
    <row r="42" spans="2:92" x14ac:dyDescent="0.25">
      <c r="B42" s="1" t="str">
        <f>IF(ISBLANK(Prices!A40),"",Prices!A40)</f>
        <v/>
      </c>
      <c r="C42" s="1" t="str">
        <f>IF(ISBLANK(Prices!C40),"",Prices!C40)</f>
        <v/>
      </c>
      <c r="D42" s="1" t="str">
        <f>IF(ISBLANK(Prices!D40),"",Prices!D40)</f>
        <v/>
      </c>
      <c r="E42" s="1" t="str">
        <f>IF(ISBLANK(Prices!E40),"",Prices!E40)</f>
        <v/>
      </c>
      <c r="F42" s="1" t="str">
        <f>IF(ISBLANK(Prices!F40),"",Prices!F40)</f>
        <v/>
      </c>
      <c r="G42" s="1" t="str">
        <f>IF(ISBLANK(Prices!G40),"",Prices!G40)</f>
        <v/>
      </c>
      <c r="H42" s="1" t="str">
        <f>IF(ISBLANK(Prices!H40),"",Prices!H40)</f>
        <v/>
      </c>
      <c r="I42" s="1" t="str">
        <f>IF(ISBLANK(Prices!I40),"",Prices!I40)</f>
        <v/>
      </c>
      <c r="J42" s="1" t="str">
        <f>IF(ISBLANK(Prices!J40),"",Prices!J40)</f>
        <v/>
      </c>
      <c r="K42" s="1" t="str">
        <f>IF(ISBLANK(Prices!K40),"",Prices!K40)</f>
        <v/>
      </c>
      <c r="L42" s="1" t="str">
        <f>IF(ISBLANK(Prices!L40),"",Prices!L40)</f>
        <v/>
      </c>
      <c r="M42" s="1" t="str">
        <f>IF(ISBLANK(Prices!M40),"",Prices!M40)</f>
        <v/>
      </c>
      <c r="N42" s="1" t="str">
        <f>IF(ISBLANK(Prices!N40),"",Prices!N40)</f>
        <v/>
      </c>
      <c r="O42" s="1" t="str">
        <f>IF(ISBLANK(Prices!O40),"",Prices!O40)</f>
        <v/>
      </c>
      <c r="P42" s="1" t="str">
        <f>IF(ISBLANK(Prices!P40),"",Prices!P40)</f>
        <v/>
      </c>
      <c r="Q42" s="1" t="str">
        <f>IF(ISBLANK(Prices!Q40),"",Prices!Q40)</f>
        <v/>
      </c>
      <c r="R42" s="1" t="str">
        <f>IF(ISBLANK(Prices!R40),"",Prices!R40)</f>
        <v/>
      </c>
      <c r="S42" s="1" t="str">
        <f>IF(ISBLANK(Prices!S40),"",Prices!S40)</f>
        <v/>
      </c>
      <c r="T42" s="1" t="str">
        <f>IF(ISBLANK(Prices!T40),"",Prices!T40)</f>
        <v/>
      </c>
      <c r="U42" s="1" t="str">
        <f>IF(ISBLANK(Prices!U40),"",Prices!U40)</f>
        <v/>
      </c>
      <c r="V42" s="1" t="str">
        <f>IF(ISBLANK(Prices!V40),"",Prices!V40)</f>
        <v/>
      </c>
      <c r="W42" s="1" t="str">
        <f>IF(ISBLANK(Prices!W40),"",Prices!W40)</f>
        <v/>
      </c>
      <c r="X42" s="1" t="str">
        <f>IF(ISBLANK(Prices!X40),"",Prices!X40)</f>
        <v/>
      </c>
      <c r="Y42" s="1" t="str">
        <f>IF(ISBLANK(Prices!Y40),"",Prices!Y40)</f>
        <v/>
      </c>
      <c r="Z42" s="1" t="str">
        <f>IF(ISBLANK(Prices!Z40),"",Prices!Z40)</f>
        <v/>
      </c>
      <c r="AA42" s="1" t="str">
        <f>IF(ISBLANK(Prices!AA40),"",Prices!AA40)</f>
        <v/>
      </c>
      <c r="AB42" s="1" t="str">
        <f>IF(ISBLANK(Prices!AB40),"",Prices!AB40)</f>
        <v/>
      </c>
      <c r="AC42" s="1" t="str">
        <f>IF(ISBLANK(Prices!AC40),"",Prices!AC40)</f>
        <v/>
      </c>
      <c r="AD42" s="1" t="str">
        <f>IF(ISBLANK(Prices!AD40),"",Prices!AD40)</f>
        <v/>
      </c>
      <c r="AE42" s="1" t="str">
        <f>IF(ISBLANK(Prices!AE40),"",Prices!AE40)</f>
        <v/>
      </c>
      <c r="AF42" s="1" t="str">
        <f>IF(ISBLANK(Prices!AF40),"",Prices!AF40)</f>
        <v/>
      </c>
      <c r="AG42" s="1" t="str">
        <f>IF(ISBLANK(Prices!AG40),"",Prices!AG40)</f>
        <v/>
      </c>
      <c r="AH42" s="1" t="str">
        <f>IF(ISBLANK(Prices!AH40),"",Prices!AH40)</f>
        <v/>
      </c>
      <c r="AI42" s="1" t="str">
        <f>IF(ISBLANK(Prices!AI40),"",Prices!AI40)</f>
        <v/>
      </c>
      <c r="AJ42" s="1" t="str">
        <f>IF(ISBLANK(Prices!AJ40),"",Prices!AJ40)</f>
        <v/>
      </c>
      <c r="AK42" s="1" t="str">
        <f>IF(ISBLANK(Prices!AK40),"",Prices!AK40)</f>
        <v/>
      </c>
      <c r="AL42" s="1" t="str">
        <f>IF(ISBLANK(Prices!AL40),"",Prices!AL40)</f>
        <v/>
      </c>
      <c r="AM42" s="1" t="str">
        <f>IF(ISBLANK(Prices!AM40),"",Prices!AM40)</f>
        <v/>
      </c>
      <c r="AN42" s="1" t="str">
        <f>IF(ISBLANK(Prices!AN40),"",Prices!AN40)</f>
        <v/>
      </c>
      <c r="AO42" s="1" t="str">
        <f>IF(ISBLANK(Prices!AO40),"",Prices!AO40)</f>
        <v/>
      </c>
      <c r="AP42" s="1" t="str">
        <f>IF(ISBLANK(Prices!AP40),"",Prices!AP40)</f>
        <v/>
      </c>
      <c r="AQ42" s="1" t="str">
        <f>IF(ISBLANK(Prices!AQ40),"",Prices!AQ40)</f>
        <v/>
      </c>
      <c r="AR42" s="1" t="str">
        <f>IF(ISBLANK(Prices!AR40),"",Prices!AR40)</f>
        <v/>
      </c>
      <c r="AS42" s="1" t="str">
        <f>IF(ISBLANK(Prices!AS40),"",Prices!AS40)</f>
        <v/>
      </c>
      <c r="AT42" s="1" t="str">
        <f>IF(ISBLANK(Prices!AT40),"",Prices!AT40)</f>
        <v/>
      </c>
      <c r="AU42" s="1" t="str">
        <f>IF(ISBLANK(Prices!AU40),"",Prices!AU40)</f>
        <v/>
      </c>
      <c r="AV42" s="1" t="str">
        <f>IF(ISBLANK(Prices!AV40),"",Prices!AV40)</f>
        <v/>
      </c>
      <c r="AW42" s="1" t="str">
        <f>IF(ISBLANK(Prices!AW40),"",Prices!AW40)</f>
        <v/>
      </c>
      <c r="AX42" s="1" t="str">
        <f>IF(ISBLANK(Prices!AX40),"",Prices!AX40)</f>
        <v/>
      </c>
      <c r="AY42" s="1" t="str">
        <f>IF(ISBLANK(Prices!AY40),"",Prices!AY40)</f>
        <v/>
      </c>
      <c r="AZ42" s="1" t="str">
        <f>IF(ISBLANK(Prices!AZ40),"",Prices!AZ40)</f>
        <v/>
      </c>
      <c r="BA42" s="1" t="str">
        <f>IF(ISBLANK(Prices!BA40),"",Prices!BA40)</f>
        <v/>
      </c>
      <c r="BB42" s="1" t="str">
        <f>IF(ISBLANK(Prices!BB40),"",Prices!BB40)</f>
        <v/>
      </c>
      <c r="BC42" s="1" t="str">
        <f>IF(ISBLANK(Prices!BC40),"",Prices!BC40)</f>
        <v/>
      </c>
      <c r="BD42" s="1" t="str">
        <f>IF(ISBLANK(Prices!BD40),"",Prices!BD40)</f>
        <v/>
      </c>
      <c r="BE42" s="1" t="str">
        <f>IF(ISBLANK(Prices!BE40),"",Prices!BE40)</f>
        <v/>
      </c>
      <c r="BF42" s="1" t="str">
        <f>IF(ISBLANK(Prices!BF40),"",Prices!BF40)</f>
        <v/>
      </c>
      <c r="BG42" s="1" t="str">
        <f>IF(ISBLANK(Prices!BG40),"",Prices!BG40)</f>
        <v/>
      </c>
      <c r="BH42" s="1" t="str">
        <f>IF(ISBLANK(Prices!BH40),"",Prices!BH40)</f>
        <v/>
      </c>
      <c r="BI42" s="1" t="str">
        <f>IF(ISBLANK(Prices!BI40),"",Prices!BI40)</f>
        <v/>
      </c>
      <c r="BJ42" s="1" t="str">
        <f>IF(ISBLANK(Prices!BJ40),"",Prices!BJ40)</f>
        <v/>
      </c>
      <c r="BK42" s="1" t="str">
        <f>IF(ISBLANK(Prices!BK40),"",Prices!BK40)</f>
        <v/>
      </c>
      <c r="BL42" s="1" t="str">
        <f>IF(ISBLANK(Prices!BL40),"",Prices!BL40)</f>
        <v/>
      </c>
      <c r="BM42" s="1" t="str">
        <f>IF(ISBLANK(Prices!BM40),"",Prices!BM40)</f>
        <v/>
      </c>
      <c r="BN42" s="1" t="str">
        <f>IF(ISBLANK(Prices!BN40),"",Prices!BN40)</f>
        <v/>
      </c>
      <c r="BO42" s="1" t="str">
        <f>IF(ISBLANK(Prices!BO40),"",Prices!BO40)</f>
        <v/>
      </c>
      <c r="BP42" s="1" t="str">
        <f>IF(ISBLANK(Prices!BP40),"",Prices!BP40)</f>
        <v/>
      </c>
      <c r="BQ42" s="1" t="str">
        <f>IF(ISBLANK(Prices!BQ40),"",Prices!BQ40)</f>
        <v/>
      </c>
      <c r="BR42" s="1" t="str">
        <f>IF(ISBLANK(Prices!BR40),"",Prices!BR40)</f>
        <v/>
      </c>
      <c r="BS42" s="1" t="str">
        <f>IF(ISBLANK(Prices!BS40),"",Prices!BS40)</f>
        <v/>
      </c>
      <c r="BT42" s="1" t="str">
        <f>IF(ISBLANK(Prices!BT40),"",Prices!BT40)</f>
        <v/>
      </c>
      <c r="BU42" s="1" t="str">
        <f>IF(ISBLANK(Prices!BU40),"",Prices!BU40)</f>
        <v/>
      </c>
      <c r="BV42" s="1" t="str">
        <f>IF(ISBLANK(Prices!BV40),"",Prices!BV40)</f>
        <v/>
      </c>
      <c r="BW42" s="1" t="str">
        <f>IF(ISBLANK(Prices!BW40),"",Prices!BW40)</f>
        <v/>
      </c>
      <c r="BX42" s="1" t="str">
        <f>IF(ISBLANK(Prices!BX40),"",Prices!BX40)</f>
        <v/>
      </c>
      <c r="BY42" s="1" t="str">
        <f>IF(ISBLANK(Prices!BY40),"",Prices!BY40)</f>
        <v/>
      </c>
      <c r="BZ42" s="1" t="str">
        <f>IF(ISBLANK(Prices!BZ40),"",Prices!BZ40)</f>
        <v/>
      </c>
      <c r="CA42" s="1" t="str">
        <f>IF(ISBLANK(Prices!CA40),"",Prices!CA40)</f>
        <v/>
      </c>
      <c r="CB42" s="1" t="str">
        <f>IF(ISBLANK(Prices!CB40),"",Prices!CB40)</f>
        <v/>
      </c>
      <c r="CC42" s="1" t="str">
        <f>IF(ISBLANK(Prices!CC40),"",Prices!CC40)</f>
        <v/>
      </c>
      <c r="CD42" s="1" t="str">
        <f>IF(ISBLANK(Prices!CD40),"",Prices!CD40)</f>
        <v/>
      </c>
      <c r="CE42" s="1" t="str">
        <f>IF(ISBLANK(Prices!CE40),"",Prices!CE40)</f>
        <v/>
      </c>
      <c r="CF42" s="1" t="str">
        <f>IF(ISBLANK(Prices!CF40),"",Prices!CF40)</f>
        <v/>
      </c>
      <c r="CG42" s="1" t="str">
        <f>IF(ISBLANK(Prices!CG40),"",Prices!CG40)</f>
        <v/>
      </c>
      <c r="CH42" s="1" t="str">
        <f>IF(ISBLANK(Prices!CH40),"",Prices!CH40)</f>
        <v/>
      </c>
      <c r="CI42" s="1" t="str">
        <f>IF(ISBLANK(Prices!CI40),"",Prices!CI40)</f>
        <v/>
      </c>
      <c r="CJ42" s="1" t="str">
        <f>IF(ISBLANK(Prices!CJ40),"",Prices!CJ40)</f>
        <v/>
      </c>
      <c r="CK42" s="1" t="str">
        <f>IF(ISBLANK(Prices!CK40),"",Prices!CK40)</f>
        <v/>
      </c>
      <c r="CL42" s="1" t="str">
        <f>IF(ISBLANK(Prices!CL40),"",Prices!CL40)</f>
        <v/>
      </c>
      <c r="CM42" s="1" t="str">
        <f>IF(ISBLANK(Prices!CM40),"",Prices!CM40)</f>
        <v/>
      </c>
      <c r="CN42" s="1" t="str">
        <f>IF(ISBLANK(Prices!CN40),"",Prices!CN40)</f>
        <v/>
      </c>
    </row>
    <row r="43" spans="2:92" x14ac:dyDescent="0.25">
      <c r="B43" s="1" t="str">
        <f>IF(ISBLANK(Prices!A41),"",Prices!A41)</f>
        <v/>
      </c>
      <c r="C43" s="1" t="str">
        <f>IF(ISBLANK(Prices!C41),"",Prices!C41)</f>
        <v/>
      </c>
      <c r="D43" s="1" t="str">
        <f>IF(ISBLANK(Prices!D41),"",Prices!D41)</f>
        <v/>
      </c>
      <c r="E43" s="1" t="str">
        <f>IF(ISBLANK(Prices!E41),"",Prices!E41)</f>
        <v/>
      </c>
      <c r="F43" s="1" t="str">
        <f>IF(ISBLANK(Prices!F41),"",Prices!F41)</f>
        <v/>
      </c>
      <c r="G43" s="1" t="str">
        <f>IF(ISBLANK(Prices!G41),"",Prices!G41)</f>
        <v/>
      </c>
      <c r="H43" s="1" t="str">
        <f>IF(ISBLANK(Prices!H41),"",Prices!H41)</f>
        <v/>
      </c>
      <c r="I43" s="1" t="str">
        <f>IF(ISBLANK(Prices!I41),"",Prices!I41)</f>
        <v/>
      </c>
      <c r="J43" s="1" t="str">
        <f>IF(ISBLANK(Prices!J41),"",Prices!J41)</f>
        <v/>
      </c>
      <c r="K43" s="1" t="str">
        <f>IF(ISBLANK(Prices!K41),"",Prices!K41)</f>
        <v/>
      </c>
      <c r="L43" s="1" t="str">
        <f>IF(ISBLANK(Prices!L41),"",Prices!L41)</f>
        <v/>
      </c>
      <c r="M43" s="1" t="str">
        <f>IF(ISBLANK(Prices!M41),"",Prices!M41)</f>
        <v/>
      </c>
      <c r="N43" s="1" t="str">
        <f>IF(ISBLANK(Prices!N41),"",Prices!N41)</f>
        <v/>
      </c>
      <c r="O43" s="1" t="str">
        <f>IF(ISBLANK(Prices!O41),"",Prices!O41)</f>
        <v/>
      </c>
      <c r="P43" s="1" t="str">
        <f>IF(ISBLANK(Prices!P41),"",Prices!P41)</f>
        <v/>
      </c>
      <c r="Q43" s="1" t="str">
        <f>IF(ISBLANK(Prices!Q41),"",Prices!Q41)</f>
        <v/>
      </c>
      <c r="R43" s="1" t="str">
        <f>IF(ISBLANK(Prices!R41),"",Prices!R41)</f>
        <v/>
      </c>
      <c r="S43" s="1" t="str">
        <f>IF(ISBLANK(Prices!S41),"",Prices!S41)</f>
        <v/>
      </c>
      <c r="T43" s="1" t="str">
        <f>IF(ISBLANK(Prices!T41),"",Prices!T41)</f>
        <v/>
      </c>
      <c r="U43" s="1" t="str">
        <f>IF(ISBLANK(Prices!U41),"",Prices!U41)</f>
        <v/>
      </c>
      <c r="V43" s="1" t="str">
        <f>IF(ISBLANK(Prices!V41),"",Prices!V41)</f>
        <v/>
      </c>
      <c r="W43" s="1" t="str">
        <f>IF(ISBLANK(Prices!W41),"",Prices!W41)</f>
        <v/>
      </c>
      <c r="X43" s="1" t="str">
        <f>IF(ISBLANK(Prices!X41),"",Prices!X41)</f>
        <v/>
      </c>
      <c r="Y43" s="1" t="str">
        <f>IF(ISBLANK(Prices!Y41),"",Prices!Y41)</f>
        <v/>
      </c>
      <c r="Z43" s="1" t="str">
        <f>IF(ISBLANK(Prices!Z41),"",Prices!Z41)</f>
        <v/>
      </c>
      <c r="AA43" s="1" t="str">
        <f>IF(ISBLANK(Prices!AA41),"",Prices!AA41)</f>
        <v/>
      </c>
      <c r="AB43" s="1" t="str">
        <f>IF(ISBLANK(Prices!AB41),"",Prices!AB41)</f>
        <v/>
      </c>
      <c r="AC43" s="1" t="str">
        <f>IF(ISBLANK(Prices!AC41),"",Prices!AC41)</f>
        <v/>
      </c>
      <c r="AD43" s="1" t="str">
        <f>IF(ISBLANK(Prices!AD41),"",Prices!AD41)</f>
        <v/>
      </c>
      <c r="AE43" s="1" t="str">
        <f>IF(ISBLANK(Prices!AE41),"",Prices!AE41)</f>
        <v/>
      </c>
      <c r="AF43" s="1" t="str">
        <f>IF(ISBLANK(Prices!AF41),"",Prices!AF41)</f>
        <v/>
      </c>
      <c r="AG43" s="1" t="str">
        <f>IF(ISBLANK(Prices!AG41),"",Prices!AG41)</f>
        <v/>
      </c>
      <c r="AH43" s="1" t="str">
        <f>IF(ISBLANK(Prices!AH41),"",Prices!AH41)</f>
        <v/>
      </c>
      <c r="AI43" s="1" t="str">
        <f>IF(ISBLANK(Prices!AI41),"",Prices!AI41)</f>
        <v/>
      </c>
      <c r="AJ43" s="1" t="str">
        <f>IF(ISBLANK(Prices!AJ41),"",Prices!AJ41)</f>
        <v/>
      </c>
      <c r="AK43" s="1" t="str">
        <f>IF(ISBLANK(Prices!AK41),"",Prices!AK41)</f>
        <v/>
      </c>
      <c r="AL43" s="1" t="str">
        <f>IF(ISBLANK(Prices!AL41),"",Prices!AL41)</f>
        <v/>
      </c>
      <c r="AM43" s="1" t="str">
        <f>IF(ISBLANK(Prices!AM41),"",Prices!AM41)</f>
        <v/>
      </c>
      <c r="AN43" s="1" t="str">
        <f>IF(ISBLANK(Prices!AN41),"",Prices!AN41)</f>
        <v/>
      </c>
      <c r="AO43" s="1" t="str">
        <f>IF(ISBLANK(Prices!AO41),"",Prices!AO41)</f>
        <v/>
      </c>
      <c r="AP43" s="1" t="str">
        <f>IF(ISBLANK(Prices!AP41),"",Prices!AP41)</f>
        <v/>
      </c>
      <c r="AQ43" s="1" t="str">
        <f>IF(ISBLANK(Prices!AQ41),"",Prices!AQ41)</f>
        <v/>
      </c>
      <c r="AR43" s="1" t="str">
        <f>IF(ISBLANK(Prices!AR41),"",Prices!AR41)</f>
        <v/>
      </c>
      <c r="AS43" s="1" t="str">
        <f>IF(ISBLANK(Prices!AS41),"",Prices!AS41)</f>
        <v/>
      </c>
      <c r="AT43" s="1" t="str">
        <f>IF(ISBLANK(Prices!AT41),"",Prices!AT41)</f>
        <v/>
      </c>
      <c r="AU43" s="1" t="str">
        <f>IF(ISBLANK(Prices!AU41),"",Prices!AU41)</f>
        <v/>
      </c>
      <c r="AV43" s="1" t="str">
        <f>IF(ISBLANK(Prices!AV41),"",Prices!AV41)</f>
        <v/>
      </c>
      <c r="AW43" s="1" t="str">
        <f>IF(ISBLANK(Prices!AW41),"",Prices!AW41)</f>
        <v/>
      </c>
      <c r="AX43" s="1" t="str">
        <f>IF(ISBLANK(Prices!AX41),"",Prices!AX41)</f>
        <v/>
      </c>
      <c r="AY43" s="1" t="str">
        <f>IF(ISBLANK(Prices!AY41),"",Prices!AY41)</f>
        <v/>
      </c>
      <c r="AZ43" s="1" t="str">
        <f>IF(ISBLANK(Prices!AZ41),"",Prices!AZ41)</f>
        <v/>
      </c>
      <c r="BA43" s="1" t="str">
        <f>IF(ISBLANK(Prices!BA41),"",Prices!BA41)</f>
        <v/>
      </c>
      <c r="BB43" s="1" t="str">
        <f>IF(ISBLANK(Prices!BB41),"",Prices!BB41)</f>
        <v/>
      </c>
      <c r="BC43" s="1" t="str">
        <f>IF(ISBLANK(Prices!BC41),"",Prices!BC41)</f>
        <v/>
      </c>
      <c r="BD43" s="1" t="str">
        <f>IF(ISBLANK(Prices!BD41),"",Prices!BD41)</f>
        <v/>
      </c>
      <c r="BE43" s="1" t="str">
        <f>IF(ISBLANK(Prices!BE41),"",Prices!BE41)</f>
        <v/>
      </c>
      <c r="BF43" s="1" t="str">
        <f>IF(ISBLANK(Prices!BF41),"",Prices!BF41)</f>
        <v/>
      </c>
      <c r="BG43" s="1" t="str">
        <f>IF(ISBLANK(Prices!BG41),"",Prices!BG41)</f>
        <v/>
      </c>
      <c r="BH43" s="1" t="str">
        <f>IF(ISBLANK(Prices!BH41),"",Prices!BH41)</f>
        <v/>
      </c>
      <c r="BI43" s="1" t="str">
        <f>IF(ISBLANK(Prices!BI41),"",Prices!BI41)</f>
        <v/>
      </c>
      <c r="BJ43" s="1" t="str">
        <f>IF(ISBLANK(Prices!BJ41),"",Prices!BJ41)</f>
        <v/>
      </c>
      <c r="BK43" s="1" t="str">
        <f>IF(ISBLANK(Prices!BK41),"",Prices!BK41)</f>
        <v/>
      </c>
      <c r="BL43" s="1" t="str">
        <f>IF(ISBLANK(Prices!BL41),"",Prices!BL41)</f>
        <v/>
      </c>
      <c r="BM43" s="1" t="str">
        <f>IF(ISBLANK(Prices!BM41),"",Prices!BM41)</f>
        <v/>
      </c>
      <c r="BN43" s="1" t="str">
        <f>IF(ISBLANK(Prices!BN41),"",Prices!BN41)</f>
        <v/>
      </c>
      <c r="BO43" s="1" t="str">
        <f>IF(ISBLANK(Prices!BO41),"",Prices!BO41)</f>
        <v/>
      </c>
      <c r="BP43" s="1" t="str">
        <f>IF(ISBLANK(Prices!BP41),"",Prices!BP41)</f>
        <v/>
      </c>
      <c r="BQ43" s="1" t="str">
        <f>IF(ISBLANK(Prices!BQ41),"",Prices!BQ41)</f>
        <v/>
      </c>
      <c r="BR43" s="1" t="str">
        <f>IF(ISBLANK(Prices!BR41),"",Prices!BR41)</f>
        <v/>
      </c>
      <c r="BS43" s="1" t="str">
        <f>IF(ISBLANK(Prices!BS41),"",Prices!BS41)</f>
        <v/>
      </c>
      <c r="BT43" s="1" t="str">
        <f>IF(ISBLANK(Prices!BT41),"",Prices!BT41)</f>
        <v/>
      </c>
      <c r="BU43" s="1" t="str">
        <f>IF(ISBLANK(Prices!BU41),"",Prices!BU41)</f>
        <v/>
      </c>
      <c r="BV43" s="1" t="str">
        <f>IF(ISBLANK(Prices!BV41),"",Prices!BV41)</f>
        <v/>
      </c>
      <c r="BW43" s="1" t="str">
        <f>IF(ISBLANK(Prices!BW41),"",Prices!BW41)</f>
        <v/>
      </c>
      <c r="BX43" s="1" t="str">
        <f>IF(ISBLANK(Prices!BX41),"",Prices!BX41)</f>
        <v/>
      </c>
      <c r="BY43" s="1" t="str">
        <f>IF(ISBLANK(Prices!BY41),"",Prices!BY41)</f>
        <v/>
      </c>
      <c r="BZ43" s="1" t="str">
        <f>IF(ISBLANK(Prices!BZ41),"",Prices!BZ41)</f>
        <v/>
      </c>
      <c r="CA43" s="1" t="str">
        <f>IF(ISBLANK(Prices!CA41),"",Prices!CA41)</f>
        <v/>
      </c>
      <c r="CB43" s="1" t="str">
        <f>IF(ISBLANK(Prices!CB41),"",Prices!CB41)</f>
        <v/>
      </c>
      <c r="CC43" s="1" t="str">
        <f>IF(ISBLANK(Prices!CC41),"",Prices!CC41)</f>
        <v/>
      </c>
      <c r="CD43" s="1" t="str">
        <f>IF(ISBLANK(Prices!CD41),"",Prices!CD41)</f>
        <v/>
      </c>
      <c r="CE43" s="1" t="str">
        <f>IF(ISBLANK(Prices!CE41),"",Prices!CE41)</f>
        <v/>
      </c>
      <c r="CF43" s="1" t="str">
        <f>IF(ISBLANK(Prices!CF41),"",Prices!CF41)</f>
        <v/>
      </c>
      <c r="CG43" s="1" t="str">
        <f>IF(ISBLANK(Prices!CG41),"",Prices!CG41)</f>
        <v/>
      </c>
      <c r="CH43" s="1" t="str">
        <f>IF(ISBLANK(Prices!CH41),"",Prices!CH41)</f>
        <v/>
      </c>
      <c r="CI43" s="1" t="str">
        <f>IF(ISBLANK(Prices!CI41),"",Prices!CI41)</f>
        <v/>
      </c>
      <c r="CJ43" s="1" t="str">
        <f>IF(ISBLANK(Prices!CJ41),"",Prices!CJ41)</f>
        <v/>
      </c>
      <c r="CK43" s="1" t="str">
        <f>IF(ISBLANK(Prices!CK41),"",Prices!CK41)</f>
        <v/>
      </c>
      <c r="CL43" s="1" t="str">
        <f>IF(ISBLANK(Prices!CL41),"",Prices!CL41)</f>
        <v/>
      </c>
      <c r="CM43" s="1" t="str">
        <f>IF(ISBLANK(Prices!CM41),"",Prices!CM41)</f>
        <v/>
      </c>
      <c r="CN43" s="1" t="str">
        <f>IF(ISBLANK(Prices!CN41),"",Prices!CN41)</f>
        <v/>
      </c>
    </row>
    <row r="44" spans="2:92" x14ac:dyDescent="0.25">
      <c r="B44" s="1" t="str">
        <f>IF(ISBLANK(Prices!A42),"",Prices!A42)</f>
        <v/>
      </c>
      <c r="C44" s="1" t="str">
        <f>IF(ISBLANK(Prices!C42),"",Prices!C42)</f>
        <v/>
      </c>
      <c r="D44" s="1" t="str">
        <f>IF(ISBLANK(Prices!D42),"",Prices!D42)</f>
        <v/>
      </c>
      <c r="E44" s="1" t="str">
        <f>IF(ISBLANK(Prices!E42),"",Prices!E42)</f>
        <v/>
      </c>
      <c r="F44" s="1" t="str">
        <f>IF(ISBLANK(Prices!F42),"",Prices!F42)</f>
        <v/>
      </c>
      <c r="G44" s="1" t="str">
        <f>IF(ISBLANK(Prices!G42),"",Prices!G42)</f>
        <v/>
      </c>
      <c r="H44" s="1" t="str">
        <f>IF(ISBLANK(Prices!H42),"",Prices!H42)</f>
        <v/>
      </c>
      <c r="I44" s="1" t="str">
        <f>IF(ISBLANK(Prices!I42),"",Prices!I42)</f>
        <v/>
      </c>
      <c r="J44" s="1" t="str">
        <f>IF(ISBLANK(Prices!J42),"",Prices!J42)</f>
        <v/>
      </c>
      <c r="K44" s="1" t="str">
        <f>IF(ISBLANK(Prices!K42),"",Prices!K42)</f>
        <v/>
      </c>
      <c r="L44" s="1" t="str">
        <f>IF(ISBLANK(Prices!L42),"",Prices!L42)</f>
        <v/>
      </c>
      <c r="M44" s="1" t="str">
        <f>IF(ISBLANK(Prices!M42),"",Prices!M42)</f>
        <v/>
      </c>
      <c r="N44" s="1" t="str">
        <f>IF(ISBLANK(Prices!N42),"",Prices!N42)</f>
        <v/>
      </c>
      <c r="O44" s="1" t="str">
        <f>IF(ISBLANK(Prices!O42),"",Prices!O42)</f>
        <v/>
      </c>
      <c r="P44" s="1" t="str">
        <f>IF(ISBLANK(Prices!P42),"",Prices!P42)</f>
        <v/>
      </c>
      <c r="Q44" s="1" t="str">
        <f>IF(ISBLANK(Prices!Q42),"",Prices!Q42)</f>
        <v/>
      </c>
      <c r="R44" s="1" t="str">
        <f>IF(ISBLANK(Prices!R42),"",Prices!R42)</f>
        <v/>
      </c>
      <c r="S44" s="1" t="str">
        <f>IF(ISBLANK(Prices!S42),"",Prices!S42)</f>
        <v/>
      </c>
      <c r="T44" s="1" t="str">
        <f>IF(ISBLANK(Prices!T42),"",Prices!T42)</f>
        <v/>
      </c>
      <c r="U44" s="1" t="str">
        <f>IF(ISBLANK(Prices!U42),"",Prices!U42)</f>
        <v/>
      </c>
      <c r="V44" s="1" t="str">
        <f>IF(ISBLANK(Prices!V42),"",Prices!V42)</f>
        <v/>
      </c>
      <c r="W44" s="1" t="str">
        <f>IF(ISBLANK(Prices!W42),"",Prices!W42)</f>
        <v/>
      </c>
      <c r="X44" s="1" t="str">
        <f>IF(ISBLANK(Prices!X42),"",Prices!X42)</f>
        <v/>
      </c>
      <c r="Y44" s="1" t="str">
        <f>IF(ISBLANK(Prices!Y42),"",Prices!Y42)</f>
        <v/>
      </c>
      <c r="Z44" s="1" t="str">
        <f>IF(ISBLANK(Prices!Z42),"",Prices!Z42)</f>
        <v/>
      </c>
      <c r="AA44" s="1" t="str">
        <f>IF(ISBLANK(Prices!AA42),"",Prices!AA42)</f>
        <v/>
      </c>
      <c r="AB44" s="1" t="str">
        <f>IF(ISBLANK(Prices!AB42),"",Prices!AB42)</f>
        <v/>
      </c>
      <c r="AC44" s="1" t="str">
        <f>IF(ISBLANK(Prices!AC42),"",Prices!AC42)</f>
        <v/>
      </c>
      <c r="AD44" s="1" t="str">
        <f>IF(ISBLANK(Prices!AD42),"",Prices!AD42)</f>
        <v/>
      </c>
      <c r="AE44" s="1" t="str">
        <f>IF(ISBLANK(Prices!AE42),"",Prices!AE42)</f>
        <v/>
      </c>
      <c r="AF44" s="1" t="str">
        <f>IF(ISBLANK(Prices!AF42),"",Prices!AF42)</f>
        <v/>
      </c>
      <c r="AG44" s="1" t="str">
        <f>IF(ISBLANK(Prices!AG42),"",Prices!AG42)</f>
        <v/>
      </c>
      <c r="AH44" s="1" t="str">
        <f>IF(ISBLANK(Prices!AH42),"",Prices!AH42)</f>
        <v/>
      </c>
      <c r="AI44" s="1" t="str">
        <f>IF(ISBLANK(Prices!AI42),"",Prices!AI42)</f>
        <v/>
      </c>
      <c r="AJ44" s="1" t="str">
        <f>IF(ISBLANK(Prices!AJ42),"",Prices!AJ42)</f>
        <v/>
      </c>
      <c r="AK44" s="1" t="str">
        <f>IF(ISBLANK(Prices!AK42),"",Prices!AK42)</f>
        <v/>
      </c>
      <c r="AL44" s="1" t="str">
        <f>IF(ISBLANK(Prices!AL42),"",Prices!AL42)</f>
        <v/>
      </c>
      <c r="AM44" s="1" t="str">
        <f>IF(ISBLANK(Prices!AM42),"",Prices!AM42)</f>
        <v/>
      </c>
      <c r="AN44" s="1" t="str">
        <f>IF(ISBLANK(Prices!AN42),"",Prices!AN42)</f>
        <v/>
      </c>
      <c r="AO44" s="1" t="str">
        <f>IF(ISBLANK(Prices!AO42),"",Prices!AO42)</f>
        <v/>
      </c>
      <c r="AP44" s="1" t="str">
        <f>IF(ISBLANK(Prices!AP42),"",Prices!AP42)</f>
        <v/>
      </c>
      <c r="AQ44" s="1" t="str">
        <f>IF(ISBLANK(Prices!AQ42),"",Prices!AQ42)</f>
        <v/>
      </c>
      <c r="AR44" s="1" t="str">
        <f>IF(ISBLANK(Prices!AR42),"",Prices!AR42)</f>
        <v/>
      </c>
      <c r="AS44" s="1" t="str">
        <f>IF(ISBLANK(Prices!AS42),"",Prices!AS42)</f>
        <v/>
      </c>
      <c r="AT44" s="1" t="str">
        <f>IF(ISBLANK(Prices!AT42),"",Prices!AT42)</f>
        <v/>
      </c>
      <c r="AU44" s="1" t="str">
        <f>IF(ISBLANK(Prices!AU42),"",Prices!AU42)</f>
        <v/>
      </c>
      <c r="AV44" s="1" t="str">
        <f>IF(ISBLANK(Prices!AV42),"",Prices!AV42)</f>
        <v/>
      </c>
      <c r="AW44" s="1" t="str">
        <f>IF(ISBLANK(Prices!AW42),"",Prices!AW42)</f>
        <v/>
      </c>
      <c r="AX44" s="1" t="str">
        <f>IF(ISBLANK(Prices!AX42),"",Prices!AX42)</f>
        <v/>
      </c>
      <c r="AY44" s="1" t="str">
        <f>IF(ISBLANK(Prices!AY42),"",Prices!AY42)</f>
        <v/>
      </c>
      <c r="AZ44" s="1" t="str">
        <f>IF(ISBLANK(Prices!AZ42),"",Prices!AZ42)</f>
        <v/>
      </c>
      <c r="BA44" s="1" t="str">
        <f>IF(ISBLANK(Prices!BA42),"",Prices!BA42)</f>
        <v/>
      </c>
      <c r="BB44" s="1" t="str">
        <f>IF(ISBLANK(Prices!BB42),"",Prices!BB42)</f>
        <v/>
      </c>
      <c r="BC44" s="1" t="str">
        <f>IF(ISBLANK(Prices!BC42),"",Prices!BC42)</f>
        <v/>
      </c>
      <c r="BD44" s="1" t="str">
        <f>IF(ISBLANK(Prices!BD42),"",Prices!BD42)</f>
        <v/>
      </c>
      <c r="BE44" s="1" t="str">
        <f>IF(ISBLANK(Prices!BE42),"",Prices!BE42)</f>
        <v/>
      </c>
      <c r="BF44" s="1" t="str">
        <f>IF(ISBLANK(Prices!BF42),"",Prices!BF42)</f>
        <v/>
      </c>
      <c r="BG44" s="1" t="str">
        <f>IF(ISBLANK(Prices!BG42),"",Prices!BG42)</f>
        <v/>
      </c>
      <c r="BH44" s="1" t="str">
        <f>IF(ISBLANK(Prices!BH42),"",Prices!BH42)</f>
        <v/>
      </c>
      <c r="BI44" s="1" t="str">
        <f>IF(ISBLANK(Prices!BI42),"",Prices!BI42)</f>
        <v/>
      </c>
      <c r="BJ44" s="1" t="str">
        <f>IF(ISBLANK(Prices!BJ42),"",Prices!BJ42)</f>
        <v/>
      </c>
      <c r="BK44" s="1" t="str">
        <f>IF(ISBLANK(Prices!BK42),"",Prices!BK42)</f>
        <v/>
      </c>
      <c r="BL44" s="1" t="str">
        <f>IF(ISBLANK(Prices!BL42),"",Prices!BL42)</f>
        <v/>
      </c>
      <c r="BM44" s="1" t="str">
        <f>IF(ISBLANK(Prices!BM42),"",Prices!BM42)</f>
        <v/>
      </c>
      <c r="BN44" s="1" t="str">
        <f>IF(ISBLANK(Prices!BN42),"",Prices!BN42)</f>
        <v/>
      </c>
      <c r="BO44" s="1" t="str">
        <f>IF(ISBLANK(Prices!BO42),"",Prices!BO42)</f>
        <v/>
      </c>
      <c r="BP44" s="1" t="str">
        <f>IF(ISBLANK(Prices!BP42),"",Prices!BP42)</f>
        <v/>
      </c>
      <c r="BQ44" s="1" t="str">
        <f>IF(ISBLANK(Prices!BQ42),"",Prices!BQ42)</f>
        <v/>
      </c>
      <c r="BR44" s="1" t="str">
        <f>IF(ISBLANK(Prices!BR42),"",Prices!BR42)</f>
        <v/>
      </c>
      <c r="BS44" s="1" t="str">
        <f>IF(ISBLANK(Prices!BS42),"",Prices!BS42)</f>
        <v/>
      </c>
      <c r="BT44" s="1" t="str">
        <f>IF(ISBLANK(Prices!BT42),"",Prices!BT42)</f>
        <v/>
      </c>
      <c r="BU44" s="1" t="str">
        <f>IF(ISBLANK(Prices!BU42),"",Prices!BU42)</f>
        <v/>
      </c>
      <c r="BV44" s="1" t="str">
        <f>IF(ISBLANK(Prices!BV42),"",Prices!BV42)</f>
        <v/>
      </c>
      <c r="BW44" s="1" t="str">
        <f>IF(ISBLANK(Prices!BW42),"",Prices!BW42)</f>
        <v/>
      </c>
      <c r="BX44" s="1" t="str">
        <f>IF(ISBLANK(Prices!BX42),"",Prices!BX42)</f>
        <v/>
      </c>
      <c r="BY44" s="1" t="str">
        <f>IF(ISBLANK(Prices!BY42),"",Prices!BY42)</f>
        <v/>
      </c>
      <c r="BZ44" s="1" t="str">
        <f>IF(ISBLANK(Prices!BZ42),"",Prices!BZ42)</f>
        <v/>
      </c>
      <c r="CA44" s="1" t="str">
        <f>IF(ISBLANK(Prices!CA42),"",Prices!CA42)</f>
        <v/>
      </c>
      <c r="CB44" s="1" t="str">
        <f>IF(ISBLANK(Prices!CB42),"",Prices!CB42)</f>
        <v/>
      </c>
      <c r="CC44" s="1" t="str">
        <f>IF(ISBLANK(Prices!CC42),"",Prices!CC42)</f>
        <v/>
      </c>
      <c r="CD44" s="1" t="str">
        <f>IF(ISBLANK(Prices!CD42),"",Prices!CD42)</f>
        <v/>
      </c>
      <c r="CE44" s="1" t="str">
        <f>IF(ISBLANK(Prices!CE42),"",Prices!CE42)</f>
        <v/>
      </c>
      <c r="CF44" s="1" t="str">
        <f>IF(ISBLANK(Prices!CF42),"",Prices!CF42)</f>
        <v/>
      </c>
      <c r="CG44" s="1" t="str">
        <f>IF(ISBLANK(Prices!CG42),"",Prices!CG42)</f>
        <v/>
      </c>
      <c r="CH44" s="1" t="str">
        <f>IF(ISBLANK(Prices!CH42),"",Prices!CH42)</f>
        <v/>
      </c>
      <c r="CI44" s="1" t="str">
        <f>IF(ISBLANK(Prices!CI42),"",Prices!CI42)</f>
        <v/>
      </c>
      <c r="CJ44" s="1" t="str">
        <f>IF(ISBLANK(Prices!CJ42),"",Prices!CJ42)</f>
        <v/>
      </c>
      <c r="CK44" s="1" t="str">
        <f>IF(ISBLANK(Prices!CK42),"",Prices!CK42)</f>
        <v/>
      </c>
      <c r="CL44" s="1" t="str">
        <f>IF(ISBLANK(Prices!CL42),"",Prices!CL42)</f>
        <v/>
      </c>
      <c r="CM44" s="1" t="str">
        <f>IF(ISBLANK(Prices!CM42),"",Prices!CM42)</f>
        <v/>
      </c>
      <c r="CN44" s="1" t="str">
        <f>IF(ISBLANK(Prices!CN42),"",Prices!CN42)</f>
        <v/>
      </c>
    </row>
    <row r="45" spans="2:92" x14ac:dyDescent="0.25">
      <c r="B45" s="1" t="str">
        <f>IF(ISBLANK(Prices!A43),"",Prices!A43)</f>
        <v/>
      </c>
      <c r="C45" s="1" t="str">
        <f>IF(ISBLANK(Prices!C43),"",Prices!C43)</f>
        <v/>
      </c>
      <c r="D45" s="1" t="str">
        <f>IF(ISBLANK(Prices!D43),"",Prices!D43)</f>
        <v/>
      </c>
      <c r="E45" s="1" t="str">
        <f>IF(ISBLANK(Prices!E43),"",Prices!E43)</f>
        <v/>
      </c>
      <c r="F45" s="1" t="str">
        <f>IF(ISBLANK(Prices!F43),"",Prices!F43)</f>
        <v/>
      </c>
      <c r="G45" s="1" t="str">
        <f>IF(ISBLANK(Prices!G43),"",Prices!G43)</f>
        <v/>
      </c>
      <c r="H45" s="1" t="str">
        <f>IF(ISBLANK(Prices!H43),"",Prices!H43)</f>
        <v/>
      </c>
      <c r="I45" s="1" t="str">
        <f>IF(ISBLANK(Prices!I43),"",Prices!I43)</f>
        <v/>
      </c>
      <c r="J45" s="1" t="str">
        <f>IF(ISBLANK(Prices!J43),"",Prices!J43)</f>
        <v/>
      </c>
      <c r="K45" s="1" t="str">
        <f>IF(ISBLANK(Prices!K43),"",Prices!K43)</f>
        <v/>
      </c>
      <c r="L45" s="1" t="str">
        <f>IF(ISBLANK(Prices!L43),"",Prices!L43)</f>
        <v/>
      </c>
      <c r="M45" s="1" t="str">
        <f>IF(ISBLANK(Prices!M43),"",Prices!M43)</f>
        <v/>
      </c>
      <c r="N45" s="1" t="str">
        <f>IF(ISBLANK(Prices!N43),"",Prices!N43)</f>
        <v/>
      </c>
      <c r="O45" s="1" t="str">
        <f>IF(ISBLANK(Prices!O43),"",Prices!O43)</f>
        <v/>
      </c>
      <c r="P45" s="1" t="str">
        <f>IF(ISBLANK(Prices!P43),"",Prices!P43)</f>
        <v/>
      </c>
      <c r="Q45" s="1" t="str">
        <f>IF(ISBLANK(Prices!Q43),"",Prices!Q43)</f>
        <v/>
      </c>
      <c r="R45" s="1" t="str">
        <f>IF(ISBLANK(Prices!R43),"",Prices!R43)</f>
        <v/>
      </c>
      <c r="S45" s="1" t="str">
        <f>IF(ISBLANK(Prices!S43),"",Prices!S43)</f>
        <v/>
      </c>
      <c r="T45" s="1" t="str">
        <f>IF(ISBLANK(Prices!T43),"",Prices!T43)</f>
        <v/>
      </c>
      <c r="U45" s="1" t="str">
        <f>IF(ISBLANK(Prices!U43),"",Prices!U43)</f>
        <v/>
      </c>
      <c r="V45" s="1" t="str">
        <f>IF(ISBLANK(Prices!V43),"",Prices!V43)</f>
        <v/>
      </c>
      <c r="W45" s="1" t="str">
        <f>IF(ISBLANK(Prices!W43),"",Prices!W43)</f>
        <v/>
      </c>
      <c r="X45" s="1" t="str">
        <f>IF(ISBLANK(Prices!X43),"",Prices!X43)</f>
        <v/>
      </c>
      <c r="Y45" s="1" t="str">
        <f>IF(ISBLANK(Prices!Y43),"",Prices!Y43)</f>
        <v/>
      </c>
      <c r="Z45" s="1" t="str">
        <f>IF(ISBLANK(Prices!Z43),"",Prices!Z43)</f>
        <v/>
      </c>
      <c r="AA45" s="1" t="str">
        <f>IF(ISBLANK(Prices!AA43),"",Prices!AA43)</f>
        <v/>
      </c>
      <c r="AB45" s="1" t="str">
        <f>IF(ISBLANK(Prices!AB43),"",Prices!AB43)</f>
        <v/>
      </c>
      <c r="AC45" s="1" t="str">
        <f>IF(ISBLANK(Prices!AC43),"",Prices!AC43)</f>
        <v/>
      </c>
      <c r="AD45" s="1" t="str">
        <f>IF(ISBLANK(Prices!AD43),"",Prices!AD43)</f>
        <v/>
      </c>
      <c r="AE45" s="1" t="str">
        <f>IF(ISBLANK(Prices!AE43),"",Prices!AE43)</f>
        <v/>
      </c>
      <c r="AF45" s="1" t="str">
        <f>IF(ISBLANK(Prices!AF43),"",Prices!AF43)</f>
        <v/>
      </c>
      <c r="AG45" s="1" t="str">
        <f>IF(ISBLANK(Prices!AG43),"",Prices!AG43)</f>
        <v/>
      </c>
      <c r="AH45" s="1" t="str">
        <f>IF(ISBLANK(Prices!AH43),"",Prices!AH43)</f>
        <v/>
      </c>
      <c r="AI45" s="1" t="str">
        <f>IF(ISBLANK(Prices!AI43),"",Prices!AI43)</f>
        <v/>
      </c>
      <c r="AJ45" s="1" t="str">
        <f>IF(ISBLANK(Prices!AJ43),"",Prices!AJ43)</f>
        <v/>
      </c>
      <c r="AK45" s="1" t="str">
        <f>IF(ISBLANK(Prices!AK43),"",Prices!AK43)</f>
        <v/>
      </c>
      <c r="AL45" s="1" t="str">
        <f>IF(ISBLANK(Prices!AL43),"",Prices!AL43)</f>
        <v/>
      </c>
      <c r="AM45" s="1" t="str">
        <f>IF(ISBLANK(Prices!AM43),"",Prices!AM43)</f>
        <v/>
      </c>
      <c r="AN45" s="1" t="str">
        <f>IF(ISBLANK(Prices!AN43),"",Prices!AN43)</f>
        <v/>
      </c>
      <c r="AO45" s="1" t="str">
        <f>IF(ISBLANK(Prices!AO43),"",Prices!AO43)</f>
        <v/>
      </c>
      <c r="AP45" s="1" t="str">
        <f>IF(ISBLANK(Prices!AP43),"",Prices!AP43)</f>
        <v/>
      </c>
      <c r="AQ45" s="1" t="str">
        <f>IF(ISBLANK(Prices!AQ43),"",Prices!AQ43)</f>
        <v/>
      </c>
      <c r="AR45" s="1" t="str">
        <f>IF(ISBLANK(Prices!AR43),"",Prices!AR43)</f>
        <v/>
      </c>
      <c r="AS45" s="1" t="str">
        <f>IF(ISBLANK(Prices!AS43),"",Prices!AS43)</f>
        <v/>
      </c>
      <c r="AT45" s="1" t="str">
        <f>IF(ISBLANK(Prices!AT43),"",Prices!AT43)</f>
        <v/>
      </c>
      <c r="AU45" s="1" t="str">
        <f>IF(ISBLANK(Prices!AU43),"",Prices!AU43)</f>
        <v/>
      </c>
      <c r="AV45" s="1" t="str">
        <f>IF(ISBLANK(Prices!AV43),"",Prices!AV43)</f>
        <v/>
      </c>
      <c r="AW45" s="1" t="str">
        <f>IF(ISBLANK(Prices!AW43),"",Prices!AW43)</f>
        <v/>
      </c>
      <c r="AX45" s="1" t="str">
        <f>IF(ISBLANK(Prices!AX43),"",Prices!AX43)</f>
        <v/>
      </c>
      <c r="AY45" s="1" t="str">
        <f>IF(ISBLANK(Prices!AY43),"",Prices!AY43)</f>
        <v/>
      </c>
      <c r="AZ45" s="1" t="str">
        <f>IF(ISBLANK(Prices!AZ43),"",Prices!AZ43)</f>
        <v/>
      </c>
      <c r="BA45" s="1" t="str">
        <f>IF(ISBLANK(Prices!BA43),"",Prices!BA43)</f>
        <v/>
      </c>
      <c r="BB45" s="1" t="str">
        <f>IF(ISBLANK(Prices!BB43),"",Prices!BB43)</f>
        <v/>
      </c>
      <c r="BC45" s="1" t="str">
        <f>IF(ISBLANK(Prices!BC43),"",Prices!BC43)</f>
        <v/>
      </c>
      <c r="BD45" s="1" t="str">
        <f>IF(ISBLANK(Prices!BD43),"",Prices!BD43)</f>
        <v/>
      </c>
      <c r="BE45" s="1" t="str">
        <f>IF(ISBLANK(Prices!BE43),"",Prices!BE43)</f>
        <v/>
      </c>
      <c r="BF45" s="1" t="str">
        <f>IF(ISBLANK(Prices!BF43),"",Prices!BF43)</f>
        <v/>
      </c>
      <c r="BG45" s="1" t="str">
        <f>IF(ISBLANK(Prices!BG43),"",Prices!BG43)</f>
        <v/>
      </c>
      <c r="BH45" s="1" t="str">
        <f>IF(ISBLANK(Prices!BH43),"",Prices!BH43)</f>
        <v/>
      </c>
      <c r="BI45" s="1" t="str">
        <f>IF(ISBLANK(Prices!BI43),"",Prices!BI43)</f>
        <v/>
      </c>
      <c r="BJ45" s="1" t="str">
        <f>IF(ISBLANK(Prices!BJ43),"",Prices!BJ43)</f>
        <v/>
      </c>
      <c r="BK45" s="1" t="str">
        <f>IF(ISBLANK(Prices!BK43),"",Prices!BK43)</f>
        <v/>
      </c>
      <c r="BL45" s="1" t="str">
        <f>IF(ISBLANK(Prices!BL43),"",Prices!BL43)</f>
        <v/>
      </c>
      <c r="BM45" s="1" t="str">
        <f>IF(ISBLANK(Prices!BM43),"",Prices!BM43)</f>
        <v/>
      </c>
      <c r="BN45" s="1" t="str">
        <f>IF(ISBLANK(Prices!BN43),"",Prices!BN43)</f>
        <v/>
      </c>
      <c r="BO45" s="1" t="str">
        <f>IF(ISBLANK(Prices!BO43),"",Prices!BO43)</f>
        <v/>
      </c>
      <c r="BP45" s="1" t="str">
        <f>IF(ISBLANK(Prices!BP43),"",Prices!BP43)</f>
        <v/>
      </c>
      <c r="BQ45" s="1" t="str">
        <f>IF(ISBLANK(Prices!BQ43),"",Prices!BQ43)</f>
        <v/>
      </c>
      <c r="BR45" s="1" t="str">
        <f>IF(ISBLANK(Prices!BR43),"",Prices!BR43)</f>
        <v/>
      </c>
      <c r="BS45" s="1" t="str">
        <f>IF(ISBLANK(Prices!BS43),"",Prices!BS43)</f>
        <v/>
      </c>
      <c r="BT45" s="1" t="str">
        <f>IF(ISBLANK(Prices!BT43),"",Prices!BT43)</f>
        <v/>
      </c>
      <c r="BU45" s="1" t="str">
        <f>IF(ISBLANK(Prices!BU43),"",Prices!BU43)</f>
        <v/>
      </c>
      <c r="BV45" s="1" t="str">
        <f>IF(ISBLANK(Prices!BV43),"",Prices!BV43)</f>
        <v/>
      </c>
      <c r="BW45" s="1" t="str">
        <f>IF(ISBLANK(Prices!BW43),"",Prices!BW43)</f>
        <v/>
      </c>
      <c r="BX45" s="1" t="str">
        <f>IF(ISBLANK(Prices!BX43),"",Prices!BX43)</f>
        <v/>
      </c>
      <c r="BY45" s="1" t="str">
        <f>IF(ISBLANK(Prices!BY43),"",Prices!BY43)</f>
        <v/>
      </c>
      <c r="BZ45" s="1" t="str">
        <f>IF(ISBLANK(Prices!BZ43),"",Prices!BZ43)</f>
        <v/>
      </c>
      <c r="CA45" s="1" t="str">
        <f>IF(ISBLANK(Prices!CA43),"",Prices!CA43)</f>
        <v/>
      </c>
      <c r="CB45" s="1" t="str">
        <f>IF(ISBLANK(Prices!CB43),"",Prices!CB43)</f>
        <v/>
      </c>
      <c r="CC45" s="1" t="str">
        <f>IF(ISBLANK(Prices!CC43),"",Prices!CC43)</f>
        <v/>
      </c>
      <c r="CD45" s="1" t="str">
        <f>IF(ISBLANK(Prices!CD43),"",Prices!CD43)</f>
        <v/>
      </c>
      <c r="CE45" s="1" t="str">
        <f>IF(ISBLANK(Prices!CE43),"",Prices!CE43)</f>
        <v/>
      </c>
      <c r="CF45" s="1" t="str">
        <f>IF(ISBLANK(Prices!CF43),"",Prices!CF43)</f>
        <v/>
      </c>
      <c r="CG45" s="1" t="str">
        <f>IF(ISBLANK(Prices!CG43),"",Prices!CG43)</f>
        <v/>
      </c>
      <c r="CH45" s="1" t="str">
        <f>IF(ISBLANK(Prices!CH43),"",Prices!CH43)</f>
        <v/>
      </c>
      <c r="CI45" s="1" t="str">
        <f>IF(ISBLANK(Prices!CI43),"",Prices!CI43)</f>
        <v/>
      </c>
      <c r="CJ45" s="1" t="str">
        <f>IF(ISBLANK(Prices!CJ43),"",Prices!CJ43)</f>
        <v/>
      </c>
      <c r="CK45" s="1" t="str">
        <f>IF(ISBLANK(Prices!CK43),"",Prices!CK43)</f>
        <v/>
      </c>
      <c r="CL45" s="1" t="str">
        <f>IF(ISBLANK(Prices!CL43),"",Prices!CL43)</f>
        <v/>
      </c>
      <c r="CM45" s="1" t="str">
        <f>IF(ISBLANK(Prices!CM43),"",Prices!CM43)</f>
        <v/>
      </c>
      <c r="CN45" s="1" t="str">
        <f>IF(ISBLANK(Prices!CN43),"",Prices!CN43)</f>
        <v/>
      </c>
    </row>
    <row r="46" spans="2:92" x14ac:dyDescent="0.25">
      <c r="B46" s="1" t="str">
        <f>IF(ISBLANK(Prices!A44),"",Prices!A44)</f>
        <v/>
      </c>
      <c r="C46" s="1" t="str">
        <f>IF(ISBLANK(Prices!C44),"",Prices!C44)</f>
        <v/>
      </c>
      <c r="D46" s="1" t="str">
        <f>IF(ISBLANK(Prices!D44),"",Prices!D44)</f>
        <v/>
      </c>
      <c r="E46" s="1" t="str">
        <f>IF(ISBLANK(Prices!E44),"",Prices!E44)</f>
        <v/>
      </c>
      <c r="F46" s="1" t="str">
        <f>IF(ISBLANK(Prices!F44),"",Prices!F44)</f>
        <v/>
      </c>
      <c r="G46" s="1" t="str">
        <f>IF(ISBLANK(Prices!G44),"",Prices!G44)</f>
        <v/>
      </c>
      <c r="H46" s="1" t="str">
        <f>IF(ISBLANK(Prices!H44),"",Prices!H44)</f>
        <v/>
      </c>
      <c r="I46" s="1" t="str">
        <f>IF(ISBLANK(Prices!I44),"",Prices!I44)</f>
        <v/>
      </c>
      <c r="J46" s="1" t="str">
        <f>IF(ISBLANK(Prices!J44),"",Prices!J44)</f>
        <v/>
      </c>
      <c r="K46" s="1" t="str">
        <f>IF(ISBLANK(Prices!K44),"",Prices!K44)</f>
        <v/>
      </c>
      <c r="L46" s="1" t="str">
        <f>IF(ISBLANK(Prices!L44),"",Prices!L44)</f>
        <v/>
      </c>
      <c r="M46" s="1" t="str">
        <f>IF(ISBLANK(Prices!M44),"",Prices!M44)</f>
        <v/>
      </c>
      <c r="N46" s="1" t="str">
        <f>IF(ISBLANK(Prices!N44),"",Prices!N44)</f>
        <v/>
      </c>
      <c r="O46" s="1" t="str">
        <f>IF(ISBLANK(Prices!O44),"",Prices!O44)</f>
        <v/>
      </c>
      <c r="P46" s="1" t="str">
        <f>IF(ISBLANK(Prices!P44),"",Prices!P44)</f>
        <v/>
      </c>
      <c r="Q46" s="1" t="str">
        <f>IF(ISBLANK(Prices!Q44),"",Prices!Q44)</f>
        <v/>
      </c>
      <c r="R46" s="1" t="str">
        <f>IF(ISBLANK(Prices!R44),"",Prices!R44)</f>
        <v/>
      </c>
      <c r="S46" s="1" t="str">
        <f>IF(ISBLANK(Prices!S44),"",Prices!S44)</f>
        <v/>
      </c>
      <c r="T46" s="1" t="str">
        <f>IF(ISBLANK(Prices!T44),"",Prices!T44)</f>
        <v/>
      </c>
      <c r="U46" s="1" t="str">
        <f>IF(ISBLANK(Prices!U44),"",Prices!U44)</f>
        <v/>
      </c>
      <c r="V46" s="1" t="str">
        <f>IF(ISBLANK(Prices!V44),"",Prices!V44)</f>
        <v/>
      </c>
      <c r="W46" s="1" t="str">
        <f>IF(ISBLANK(Prices!W44),"",Prices!W44)</f>
        <v/>
      </c>
      <c r="X46" s="1" t="str">
        <f>IF(ISBLANK(Prices!X44),"",Prices!X44)</f>
        <v/>
      </c>
      <c r="Y46" s="1" t="str">
        <f>IF(ISBLANK(Prices!Y44),"",Prices!Y44)</f>
        <v/>
      </c>
      <c r="Z46" s="1" t="str">
        <f>IF(ISBLANK(Prices!Z44),"",Prices!Z44)</f>
        <v/>
      </c>
      <c r="AA46" s="1" t="str">
        <f>IF(ISBLANK(Prices!AA44),"",Prices!AA44)</f>
        <v/>
      </c>
      <c r="AB46" s="1" t="str">
        <f>IF(ISBLANK(Prices!AB44),"",Prices!AB44)</f>
        <v/>
      </c>
      <c r="AC46" s="1" t="str">
        <f>IF(ISBLANK(Prices!AC44),"",Prices!AC44)</f>
        <v/>
      </c>
      <c r="AD46" s="1" t="str">
        <f>IF(ISBLANK(Prices!AD44),"",Prices!AD44)</f>
        <v/>
      </c>
      <c r="AE46" s="1" t="str">
        <f>IF(ISBLANK(Prices!AE44),"",Prices!AE44)</f>
        <v/>
      </c>
      <c r="AF46" s="1" t="str">
        <f>IF(ISBLANK(Prices!AF44),"",Prices!AF44)</f>
        <v/>
      </c>
      <c r="AG46" s="1" t="str">
        <f>IF(ISBLANK(Prices!AG44),"",Prices!AG44)</f>
        <v/>
      </c>
      <c r="AH46" s="1" t="str">
        <f>IF(ISBLANK(Prices!AH44),"",Prices!AH44)</f>
        <v/>
      </c>
      <c r="AI46" s="1" t="str">
        <f>IF(ISBLANK(Prices!AI44),"",Prices!AI44)</f>
        <v/>
      </c>
      <c r="AJ46" s="1" t="str">
        <f>IF(ISBLANK(Prices!AJ44),"",Prices!AJ44)</f>
        <v/>
      </c>
      <c r="AK46" s="1" t="str">
        <f>IF(ISBLANK(Prices!AK44),"",Prices!AK44)</f>
        <v/>
      </c>
      <c r="AL46" s="1" t="str">
        <f>IF(ISBLANK(Prices!AL44),"",Prices!AL44)</f>
        <v/>
      </c>
      <c r="AM46" s="1" t="str">
        <f>IF(ISBLANK(Prices!AM44),"",Prices!AM44)</f>
        <v/>
      </c>
      <c r="AN46" s="1" t="str">
        <f>IF(ISBLANK(Prices!AN44),"",Prices!AN44)</f>
        <v/>
      </c>
      <c r="AO46" s="1" t="str">
        <f>IF(ISBLANK(Prices!AO44),"",Prices!AO44)</f>
        <v/>
      </c>
      <c r="AP46" s="1" t="str">
        <f>IF(ISBLANK(Prices!AP44),"",Prices!AP44)</f>
        <v/>
      </c>
      <c r="AQ46" s="1" t="str">
        <f>IF(ISBLANK(Prices!AQ44),"",Prices!AQ44)</f>
        <v/>
      </c>
      <c r="AR46" s="1" t="str">
        <f>IF(ISBLANK(Prices!AR44),"",Prices!AR44)</f>
        <v/>
      </c>
      <c r="AS46" s="1" t="str">
        <f>IF(ISBLANK(Prices!AS44),"",Prices!AS44)</f>
        <v/>
      </c>
      <c r="AT46" s="1" t="str">
        <f>IF(ISBLANK(Prices!AT44),"",Prices!AT44)</f>
        <v/>
      </c>
      <c r="AU46" s="1" t="str">
        <f>IF(ISBLANK(Prices!AU44),"",Prices!AU44)</f>
        <v/>
      </c>
      <c r="AV46" s="1" t="str">
        <f>IF(ISBLANK(Prices!AV44),"",Prices!AV44)</f>
        <v/>
      </c>
      <c r="AW46" s="1" t="str">
        <f>IF(ISBLANK(Prices!AW44),"",Prices!AW44)</f>
        <v/>
      </c>
      <c r="AX46" s="1" t="str">
        <f>IF(ISBLANK(Prices!AX44),"",Prices!AX44)</f>
        <v/>
      </c>
      <c r="AY46" s="1" t="str">
        <f>IF(ISBLANK(Prices!AY44),"",Prices!AY44)</f>
        <v/>
      </c>
      <c r="AZ46" s="1" t="str">
        <f>IF(ISBLANK(Prices!AZ44),"",Prices!AZ44)</f>
        <v/>
      </c>
      <c r="BA46" s="1" t="str">
        <f>IF(ISBLANK(Prices!BA44),"",Prices!BA44)</f>
        <v/>
      </c>
      <c r="BB46" s="1" t="str">
        <f>IF(ISBLANK(Prices!BB44),"",Prices!BB44)</f>
        <v/>
      </c>
      <c r="BC46" s="1" t="str">
        <f>IF(ISBLANK(Prices!BC44),"",Prices!BC44)</f>
        <v/>
      </c>
      <c r="BD46" s="1" t="str">
        <f>IF(ISBLANK(Prices!BD44),"",Prices!BD44)</f>
        <v/>
      </c>
      <c r="BE46" s="1" t="str">
        <f>IF(ISBLANK(Prices!BE44),"",Prices!BE44)</f>
        <v/>
      </c>
      <c r="BF46" s="1" t="str">
        <f>IF(ISBLANK(Prices!BF44),"",Prices!BF44)</f>
        <v/>
      </c>
      <c r="BG46" s="1" t="str">
        <f>IF(ISBLANK(Prices!BG44),"",Prices!BG44)</f>
        <v/>
      </c>
      <c r="BH46" s="1" t="str">
        <f>IF(ISBLANK(Prices!BH44),"",Prices!BH44)</f>
        <v/>
      </c>
      <c r="BI46" s="1" t="str">
        <f>IF(ISBLANK(Prices!BI44),"",Prices!BI44)</f>
        <v/>
      </c>
      <c r="BJ46" s="1" t="str">
        <f>IF(ISBLANK(Prices!BJ44),"",Prices!BJ44)</f>
        <v/>
      </c>
      <c r="BK46" s="1" t="str">
        <f>IF(ISBLANK(Prices!BK44),"",Prices!BK44)</f>
        <v/>
      </c>
      <c r="BL46" s="1" t="str">
        <f>IF(ISBLANK(Prices!BL44),"",Prices!BL44)</f>
        <v/>
      </c>
      <c r="BM46" s="1" t="str">
        <f>IF(ISBLANK(Prices!BM44),"",Prices!BM44)</f>
        <v/>
      </c>
      <c r="BN46" s="1" t="str">
        <f>IF(ISBLANK(Prices!BN44),"",Prices!BN44)</f>
        <v/>
      </c>
      <c r="BO46" s="1" t="str">
        <f>IF(ISBLANK(Prices!BO44),"",Prices!BO44)</f>
        <v/>
      </c>
      <c r="BP46" s="1" t="str">
        <f>IF(ISBLANK(Prices!BP44),"",Prices!BP44)</f>
        <v/>
      </c>
      <c r="BQ46" s="1" t="str">
        <f>IF(ISBLANK(Prices!BQ44),"",Prices!BQ44)</f>
        <v/>
      </c>
      <c r="BR46" s="1" t="str">
        <f>IF(ISBLANK(Prices!BR44),"",Prices!BR44)</f>
        <v/>
      </c>
      <c r="BS46" s="1" t="str">
        <f>IF(ISBLANK(Prices!BS44),"",Prices!BS44)</f>
        <v/>
      </c>
      <c r="BT46" s="1" t="str">
        <f>IF(ISBLANK(Prices!BT44),"",Prices!BT44)</f>
        <v/>
      </c>
      <c r="BU46" s="1" t="str">
        <f>IF(ISBLANK(Prices!BU44),"",Prices!BU44)</f>
        <v/>
      </c>
      <c r="BV46" s="1" t="str">
        <f>IF(ISBLANK(Prices!BV44),"",Prices!BV44)</f>
        <v/>
      </c>
      <c r="BW46" s="1" t="str">
        <f>IF(ISBLANK(Prices!BW44),"",Prices!BW44)</f>
        <v/>
      </c>
      <c r="BX46" s="1" t="str">
        <f>IF(ISBLANK(Prices!BX44),"",Prices!BX44)</f>
        <v/>
      </c>
      <c r="BY46" s="1" t="str">
        <f>IF(ISBLANK(Prices!BY44),"",Prices!BY44)</f>
        <v/>
      </c>
      <c r="BZ46" s="1" t="str">
        <f>IF(ISBLANK(Prices!BZ44),"",Prices!BZ44)</f>
        <v/>
      </c>
      <c r="CA46" s="1" t="str">
        <f>IF(ISBLANK(Prices!CA44),"",Prices!CA44)</f>
        <v/>
      </c>
      <c r="CB46" s="1" t="str">
        <f>IF(ISBLANK(Prices!CB44),"",Prices!CB44)</f>
        <v/>
      </c>
      <c r="CC46" s="1" t="str">
        <f>IF(ISBLANK(Prices!CC44),"",Prices!CC44)</f>
        <v/>
      </c>
      <c r="CD46" s="1" t="str">
        <f>IF(ISBLANK(Prices!CD44),"",Prices!CD44)</f>
        <v/>
      </c>
      <c r="CE46" s="1" t="str">
        <f>IF(ISBLANK(Prices!CE44),"",Prices!CE44)</f>
        <v/>
      </c>
      <c r="CF46" s="1" t="str">
        <f>IF(ISBLANK(Prices!CF44),"",Prices!CF44)</f>
        <v/>
      </c>
      <c r="CG46" s="1" t="str">
        <f>IF(ISBLANK(Prices!CG44),"",Prices!CG44)</f>
        <v/>
      </c>
      <c r="CH46" s="1" t="str">
        <f>IF(ISBLANK(Prices!CH44),"",Prices!CH44)</f>
        <v/>
      </c>
      <c r="CI46" s="1" t="str">
        <f>IF(ISBLANK(Prices!CI44),"",Prices!CI44)</f>
        <v/>
      </c>
      <c r="CJ46" s="1" t="str">
        <f>IF(ISBLANK(Prices!CJ44),"",Prices!CJ44)</f>
        <v/>
      </c>
      <c r="CK46" s="1" t="str">
        <f>IF(ISBLANK(Prices!CK44),"",Prices!CK44)</f>
        <v/>
      </c>
      <c r="CL46" s="1" t="str">
        <f>IF(ISBLANK(Prices!CL44),"",Prices!CL44)</f>
        <v/>
      </c>
      <c r="CM46" s="1" t="str">
        <f>IF(ISBLANK(Prices!CM44),"",Prices!CM44)</f>
        <v/>
      </c>
      <c r="CN46" s="1" t="str">
        <f>IF(ISBLANK(Prices!CN44),"",Prices!CN44)</f>
        <v/>
      </c>
    </row>
    <row r="47" spans="2:92" x14ac:dyDescent="0.25">
      <c r="B47" s="1" t="str">
        <f>IF(ISBLANK(Prices!A45),"",Prices!A45)</f>
        <v/>
      </c>
      <c r="C47" s="1" t="str">
        <f>IF(ISBLANK(Prices!C45),"",Prices!C45)</f>
        <v/>
      </c>
      <c r="D47" s="1" t="str">
        <f>IF(ISBLANK(Prices!D45),"",Prices!D45)</f>
        <v/>
      </c>
      <c r="E47" s="1" t="str">
        <f>IF(ISBLANK(Prices!E45),"",Prices!E45)</f>
        <v/>
      </c>
      <c r="F47" s="1" t="str">
        <f>IF(ISBLANK(Prices!F45),"",Prices!F45)</f>
        <v/>
      </c>
      <c r="G47" s="1" t="str">
        <f>IF(ISBLANK(Prices!G45),"",Prices!G45)</f>
        <v/>
      </c>
      <c r="H47" s="1" t="str">
        <f>IF(ISBLANK(Prices!H45),"",Prices!H45)</f>
        <v/>
      </c>
      <c r="I47" s="1" t="str">
        <f>IF(ISBLANK(Prices!I45),"",Prices!I45)</f>
        <v/>
      </c>
      <c r="J47" s="1" t="str">
        <f>IF(ISBLANK(Prices!J45),"",Prices!J45)</f>
        <v/>
      </c>
      <c r="K47" s="1" t="str">
        <f>IF(ISBLANK(Prices!K45),"",Prices!K45)</f>
        <v/>
      </c>
      <c r="L47" s="1" t="str">
        <f>IF(ISBLANK(Prices!L45),"",Prices!L45)</f>
        <v/>
      </c>
      <c r="M47" s="1" t="str">
        <f>IF(ISBLANK(Prices!M45),"",Prices!M45)</f>
        <v/>
      </c>
      <c r="N47" s="1" t="str">
        <f>IF(ISBLANK(Prices!N45),"",Prices!N45)</f>
        <v/>
      </c>
      <c r="O47" s="1" t="str">
        <f>IF(ISBLANK(Prices!O45),"",Prices!O45)</f>
        <v/>
      </c>
      <c r="P47" s="1" t="str">
        <f>IF(ISBLANK(Prices!P45),"",Prices!P45)</f>
        <v/>
      </c>
      <c r="Q47" s="1" t="str">
        <f>IF(ISBLANK(Prices!Q45),"",Prices!Q45)</f>
        <v/>
      </c>
      <c r="R47" s="1" t="str">
        <f>IF(ISBLANK(Prices!R45),"",Prices!R45)</f>
        <v/>
      </c>
      <c r="S47" s="1" t="str">
        <f>IF(ISBLANK(Prices!S45),"",Prices!S45)</f>
        <v/>
      </c>
      <c r="T47" s="1" t="str">
        <f>IF(ISBLANK(Prices!T45),"",Prices!T45)</f>
        <v/>
      </c>
      <c r="U47" s="1" t="str">
        <f>IF(ISBLANK(Prices!U45),"",Prices!U45)</f>
        <v/>
      </c>
      <c r="V47" s="1" t="str">
        <f>IF(ISBLANK(Prices!V45),"",Prices!V45)</f>
        <v/>
      </c>
      <c r="W47" s="1" t="str">
        <f>IF(ISBLANK(Prices!W45),"",Prices!W45)</f>
        <v/>
      </c>
      <c r="X47" s="1" t="str">
        <f>IF(ISBLANK(Prices!X45),"",Prices!X45)</f>
        <v/>
      </c>
      <c r="Y47" s="1" t="str">
        <f>IF(ISBLANK(Prices!Y45),"",Prices!Y45)</f>
        <v/>
      </c>
      <c r="Z47" s="1" t="str">
        <f>IF(ISBLANK(Prices!Z45),"",Prices!Z45)</f>
        <v/>
      </c>
      <c r="AA47" s="1" t="str">
        <f>IF(ISBLANK(Prices!AA45),"",Prices!AA45)</f>
        <v/>
      </c>
      <c r="AB47" s="1" t="str">
        <f>IF(ISBLANK(Prices!AB45),"",Prices!AB45)</f>
        <v/>
      </c>
      <c r="AC47" s="1" t="str">
        <f>IF(ISBLANK(Prices!AC45),"",Prices!AC45)</f>
        <v/>
      </c>
      <c r="AD47" s="1" t="str">
        <f>IF(ISBLANK(Prices!AD45),"",Prices!AD45)</f>
        <v/>
      </c>
      <c r="AE47" s="1" t="str">
        <f>IF(ISBLANK(Prices!AE45),"",Prices!AE45)</f>
        <v/>
      </c>
      <c r="AF47" s="1" t="str">
        <f>IF(ISBLANK(Prices!AF45),"",Prices!AF45)</f>
        <v/>
      </c>
      <c r="AG47" s="1" t="str">
        <f>IF(ISBLANK(Prices!AG45),"",Prices!AG45)</f>
        <v/>
      </c>
      <c r="AH47" s="1" t="str">
        <f>IF(ISBLANK(Prices!AH45),"",Prices!AH45)</f>
        <v/>
      </c>
      <c r="AI47" s="1" t="str">
        <f>IF(ISBLANK(Prices!AI45),"",Prices!AI45)</f>
        <v/>
      </c>
      <c r="AJ47" s="1" t="str">
        <f>IF(ISBLANK(Prices!AJ45),"",Prices!AJ45)</f>
        <v/>
      </c>
      <c r="AK47" s="1" t="str">
        <f>IF(ISBLANK(Prices!AK45),"",Prices!AK45)</f>
        <v/>
      </c>
      <c r="AL47" s="1" t="str">
        <f>IF(ISBLANK(Prices!AL45),"",Prices!AL45)</f>
        <v/>
      </c>
      <c r="AM47" s="1" t="str">
        <f>IF(ISBLANK(Prices!AM45),"",Prices!AM45)</f>
        <v/>
      </c>
      <c r="AN47" s="1" t="str">
        <f>IF(ISBLANK(Prices!AN45),"",Prices!AN45)</f>
        <v/>
      </c>
      <c r="AO47" s="1" t="str">
        <f>IF(ISBLANK(Prices!AO45),"",Prices!AO45)</f>
        <v/>
      </c>
      <c r="AP47" s="1" t="str">
        <f>IF(ISBLANK(Prices!AP45),"",Prices!AP45)</f>
        <v/>
      </c>
      <c r="AQ47" s="1" t="str">
        <f>IF(ISBLANK(Prices!AQ45),"",Prices!AQ45)</f>
        <v/>
      </c>
      <c r="AR47" s="1" t="str">
        <f>IF(ISBLANK(Prices!AR45),"",Prices!AR45)</f>
        <v/>
      </c>
      <c r="AS47" s="1" t="str">
        <f>IF(ISBLANK(Prices!AS45),"",Prices!AS45)</f>
        <v/>
      </c>
      <c r="AT47" s="1" t="str">
        <f>IF(ISBLANK(Prices!AT45),"",Prices!AT45)</f>
        <v/>
      </c>
      <c r="AU47" s="1" t="str">
        <f>IF(ISBLANK(Prices!AU45),"",Prices!AU45)</f>
        <v/>
      </c>
      <c r="AV47" s="1" t="str">
        <f>IF(ISBLANK(Prices!AV45),"",Prices!AV45)</f>
        <v/>
      </c>
      <c r="AW47" s="1" t="str">
        <f>IF(ISBLANK(Prices!AW45),"",Prices!AW45)</f>
        <v/>
      </c>
      <c r="AX47" s="1" t="str">
        <f>IF(ISBLANK(Prices!AX45),"",Prices!AX45)</f>
        <v/>
      </c>
      <c r="AY47" s="1" t="str">
        <f>IF(ISBLANK(Prices!AY45),"",Prices!AY45)</f>
        <v/>
      </c>
      <c r="AZ47" s="1" t="str">
        <f>IF(ISBLANK(Prices!AZ45),"",Prices!AZ45)</f>
        <v/>
      </c>
      <c r="BA47" s="1" t="str">
        <f>IF(ISBLANK(Prices!BA45),"",Prices!BA45)</f>
        <v/>
      </c>
      <c r="BB47" s="1" t="str">
        <f>IF(ISBLANK(Prices!BB45),"",Prices!BB45)</f>
        <v/>
      </c>
      <c r="BC47" s="1" t="str">
        <f>IF(ISBLANK(Prices!BC45),"",Prices!BC45)</f>
        <v/>
      </c>
      <c r="BD47" s="1" t="str">
        <f>IF(ISBLANK(Prices!BD45),"",Prices!BD45)</f>
        <v/>
      </c>
      <c r="BE47" s="1" t="str">
        <f>IF(ISBLANK(Prices!BE45),"",Prices!BE45)</f>
        <v/>
      </c>
      <c r="BF47" s="1" t="str">
        <f>IF(ISBLANK(Prices!BF45),"",Prices!BF45)</f>
        <v/>
      </c>
      <c r="BG47" s="1" t="str">
        <f>IF(ISBLANK(Prices!BG45),"",Prices!BG45)</f>
        <v/>
      </c>
      <c r="BH47" s="1" t="str">
        <f>IF(ISBLANK(Prices!BH45),"",Prices!BH45)</f>
        <v/>
      </c>
      <c r="BI47" s="1" t="str">
        <f>IF(ISBLANK(Prices!BI45),"",Prices!BI45)</f>
        <v/>
      </c>
      <c r="BJ47" s="1" t="str">
        <f>IF(ISBLANK(Prices!BJ45),"",Prices!BJ45)</f>
        <v/>
      </c>
      <c r="BK47" s="1" t="str">
        <f>IF(ISBLANK(Prices!BK45),"",Prices!BK45)</f>
        <v/>
      </c>
      <c r="BL47" s="1" t="str">
        <f>IF(ISBLANK(Prices!BL45),"",Prices!BL45)</f>
        <v/>
      </c>
      <c r="BM47" s="1" t="str">
        <f>IF(ISBLANK(Prices!BM45),"",Prices!BM45)</f>
        <v/>
      </c>
      <c r="BN47" s="1" t="str">
        <f>IF(ISBLANK(Prices!BN45),"",Prices!BN45)</f>
        <v/>
      </c>
      <c r="BO47" s="1" t="str">
        <f>IF(ISBLANK(Prices!BO45),"",Prices!BO45)</f>
        <v/>
      </c>
      <c r="BP47" s="1" t="str">
        <f>IF(ISBLANK(Prices!BP45),"",Prices!BP45)</f>
        <v/>
      </c>
      <c r="BQ47" s="1" t="str">
        <f>IF(ISBLANK(Prices!BQ45),"",Prices!BQ45)</f>
        <v/>
      </c>
      <c r="BR47" s="1" t="str">
        <f>IF(ISBLANK(Prices!BR45),"",Prices!BR45)</f>
        <v/>
      </c>
      <c r="BS47" s="1" t="str">
        <f>IF(ISBLANK(Prices!BS45),"",Prices!BS45)</f>
        <v/>
      </c>
      <c r="BT47" s="1" t="str">
        <f>IF(ISBLANK(Prices!BT45),"",Prices!BT45)</f>
        <v/>
      </c>
      <c r="BU47" s="1" t="str">
        <f>IF(ISBLANK(Prices!BU45),"",Prices!BU45)</f>
        <v/>
      </c>
      <c r="BV47" s="1" t="str">
        <f>IF(ISBLANK(Prices!BV45),"",Prices!BV45)</f>
        <v/>
      </c>
      <c r="BW47" s="1" t="str">
        <f>IF(ISBLANK(Prices!BW45),"",Prices!BW45)</f>
        <v/>
      </c>
      <c r="BX47" s="1" t="str">
        <f>IF(ISBLANK(Prices!BX45),"",Prices!BX45)</f>
        <v/>
      </c>
      <c r="BY47" s="1" t="str">
        <f>IF(ISBLANK(Prices!BY45),"",Prices!BY45)</f>
        <v/>
      </c>
      <c r="BZ47" s="1" t="str">
        <f>IF(ISBLANK(Prices!BZ45),"",Prices!BZ45)</f>
        <v/>
      </c>
      <c r="CA47" s="1" t="str">
        <f>IF(ISBLANK(Prices!CA45),"",Prices!CA45)</f>
        <v/>
      </c>
      <c r="CB47" s="1" t="str">
        <f>IF(ISBLANK(Prices!CB45),"",Prices!CB45)</f>
        <v/>
      </c>
      <c r="CC47" s="1" t="str">
        <f>IF(ISBLANK(Prices!CC45),"",Prices!CC45)</f>
        <v/>
      </c>
      <c r="CD47" s="1" t="str">
        <f>IF(ISBLANK(Prices!CD45),"",Prices!CD45)</f>
        <v/>
      </c>
      <c r="CE47" s="1" t="str">
        <f>IF(ISBLANK(Prices!CE45),"",Prices!CE45)</f>
        <v/>
      </c>
      <c r="CF47" s="1" t="str">
        <f>IF(ISBLANK(Prices!CF45),"",Prices!CF45)</f>
        <v/>
      </c>
      <c r="CG47" s="1" t="str">
        <f>IF(ISBLANK(Prices!CG45),"",Prices!CG45)</f>
        <v/>
      </c>
      <c r="CH47" s="1" t="str">
        <f>IF(ISBLANK(Prices!CH45),"",Prices!CH45)</f>
        <v/>
      </c>
      <c r="CI47" s="1" t="str">
        <f>IF(ISBLANK(Prices!CI45),"",Prices!CI45)</f>
        <v/>
      </c>
      <c r="CJ47" s="1" t="str">
        <f>IF(ISBLANK(Prices!CJ45),"",Prices!CJ45)</f>
        <v/>
      </c>
      <c r="CK47" s="1" t="str">
        <f>IF(ISBLANK(Prices!CK45),"",Prices!CK45)</f>
        <v/>
      </c>
      <c r="CL47" s="1" t="str">
        <f>IF(ISBLANK(Prices!CL45),"",Prices!CL45)</f>
        <v/>
      </c>
      <c r="CM47" s="1" t="str">
        <f>IF(ISBLANK(Prices!CM45),"",Prices!CM45)</f>
        <v/>
      </c>
      <c r="CN47" s="1" t="str">
        <f>IF(ISBLANK(Prices!CN45),"",Prices!CN45)</f>
        <v/>
      </c>
    </row>
    <row r="48" spans="2:92" x14ac:dyDescent="0.25">
      <c r="B48" s="1" t="str">
        <f>IF(ISBLANK(Prices!A46),"",Prices!A46)</f>
        <v/>
      </c>
      <c r="C48" s="1" t="str">
        <f>IF(ISBLANK(Prices!C46),"",Prices!C46)</f>
        <v/>
      </c>
      <c r="D48" s="1" t="str">
        <f>IF(ISBLANK(Prices!D46),"",Prices!D46)</f>
        <v/>
      </c>
      <c r="E48" s="1" t="str">
        <f>IF(ISBLANK(Prices!E46),"",Prices!E46)</f>
        <v/>
      </c>
      <c r="F48" s="1" t="str">
        <f>IF(ISBLANK(Prices!F46),"",Prices!F46)</f>
        <v/>
      </c>
      <c r="G48" s="1" t="str">
        <f>IF(ISBLANK(Prices!G46),"",Prices!G46)</f>
        <v/>
      </c>
      <c r="H48" s="1" t="str">
        <f>IF(ISBLANK(Prices!H46),"",Prices!H46)</f>
        <v/>
      </c>
      <c r="I48" s="1" t="str">
        <f>IF(ISBLANK(Prices!I46),"",Prices!I46)</f>
        <v/>
      </c>
      <c r="J48" s="1" t="str">
        <f>IF(ISBLANK(Prices!J46),"",Prices!J46)</f>
        <v/>
      </c>
      <c r="K48" s="1" t="str">
        <f>IF(ISBLANK(Prices!K46),"",Prices!K46)</f>
        <v/>
      </c>
      <c r="L48" s="1" t="str">
        <f>IF(ISBLANK(Prices!L46),"",Prices!L46)</f>
        <v/>
      </c>
      <c r="M48" s="1" t="str">
        <f>IF(ISBLANK(Prices!M46),"",Prices!M46)</f>
        <v/>
      </c>
      <c r="N48" s="1" t="str">
        <f>IF(ISBLANK(Prices!N46),"",Prices!N46)</f>
        <v/>
      </c>
      <c r="O48" s="1" t="str">
        <f>IF(ISBLANK(Prices!O46),"",Prices!O46)</f>
        <v/>
      </c>
      <c r="P48" s="1" t="str">
        <f>IF(ISBLANK(Prices!P46),"",Prices!P46)</f>
        <v/>
      </c>
      <c r="Q48" s="1" t="str">
        <f>IF(ISBLANK(Prices!Q46),"",Prices!Q46)</f>
        <v/>
      </c>
      <c r="R48" s="1" t="str">
        <f>IF(ISBLANK(Prices!R46),"",Prices!R46)</f>
        <v/>
      </c>
      <c r="S48" s="1" t="str">
        <f>IF(ISBLANK(Prices!S46),"",Prices!S46)</f>
        <v/>
      </c>
      <c r="T48" s="1" t="str">
        <f>IF(ISBLANK(Prices!T46),"",Prices!T46)</f>
        <v/>
      </c>
      <c r="U48" s="1" t="str">
        <f>IF(ISBLANK(Prices!U46),"",Prices!U46)</f>
        <v/>
      </c>
      <c r="V48" s="1" t="str">
        <f>IF(ISBLANK(Prices!V46),"",Prices!V46)</f>
        <v/>
      </c>
      <c r="W48" s="1" t="str">
        <f>IF(ISBLANK(Prices!W46),"",Prices!W46)</f>
        <v/>
      </c>
      <c r="X48" s="1" t="str">
        <f>IF(ISBLANK(Prices!X46),"",Prices!X46)</f>
        <v/>
      </c>
      <c r="Y48" s="1" t="str">
        <f>IF(ISBLANK(Prices!Y46),"",Prices!Y46)</f>
        <v/>
      </c>
      <c r="Z48" s="1" t="str">
        <f>IF(ISBLANK(Prices!Z46),"",Prices!Z46)</f>
        <v/>
      </c>
      <c r="AA48" s="1" t="str">
        <f>IF(ISBLANK(Prices!AA46),"",Prices!AA46)</f>
        <v/>
      </c>
      <c r="AB48" s="1" t="str">
        <f>IF(ISBLANK(Prices!AB46),"",Prices!AB46)</f>
        <v/>
      </c>
      <c r="AC48" s="1" t="str">
        <f>IF(ISBLANK(Prices!AC46),"",Prices!AC46)</f>
        <v/>
      </c>
      <c r="AD48" s="1" t="str">
        <f>IF(ISBLANK(Prices!AD46),"",Prices!AD46)</f>
        <v/>
      </c>
      <c r="AE48" s="1" t="str">
        <f>IF(ISBLANK(Prices!AE46),"",Prices!AE46)</f>
        <v/>
      </c>
      <c r="AF48" s="1" t="str">
        <f>IF(ISBLANK(Prices!AF46),"",Prices!AF46)</f>
        <v/>
      </c>
      <c r="AG48" s="1" t="str">
        <f>IF(ISBLANK(Prices!AG46),"",Prices!AG46)</f>
        <v/>
      </c>
      <c r="AH48" s="1" t="str">
        <f>IF(ISBLANK(Prices!AH46),"",Prices!AH46)</f>
        <v/>
      </c>
      <c r="AI48" s="1" t="str">
        <f>IF(ISBLANK(Prices!AI46),"",Prices!AI46)</f>
        <v/>
      </c>
      <c r="AJ48" s="1" t="str">
        <f>IF(ISBLANK(Prices!AJ46),"",Prices!AJ46)</f>
        <v/>
      </c>
      <c r="AK48" s="1" t="str">
        <f>IF(ISBLANK(Prices!AK46),"",Prices!AK46)</f>
        <v/>
      </c>
      <c r="AL48" s="1" t="str">
        <f>IF(ISBLANK(Prices!AL46),"",Prices!AL46)</f>
        <v/>
      </c>
      <c r="AM48" s="1" t="str">
        <f>IF(ISBLANK(Prices!AM46),"",Prices!AM46)</f>
        <v/>
      </c>
      <c r="AN48" s="1" t="str">
        <f>IF(ISBLANK(Prices!AN46),"",Prices!AN46)</f>
        <v/>
      </c>
      <c r="AO48" s="1" t="str">
        <f>IF(ISBLANK(Prices!AO46),"",Prices!AO46)</f>
        <v/>
      </c>
      <c r="AP48" s="1" t="str">
        <f>IF(ISBLANK(Prices!AP46),"",Prices!AP46)</f>
        <v/>
      </c>
      <c r="AQ48" s="1" t="str">
        <f>IF(ISBLANK(Prices!AQ46),"",Prices!AQ46)</f>
        <v/>
      </c>
      <c r="AR48" s="1" t="str">
        <f>IF(ISBLANK(Prices!AR46),"",Prices!AR46)</f>
        <v/>
      </c>
      <c r="AS48" s="1" t="str">
        <f>IF(ISBLANK(Prices!AS46),"",Prices!AS46)</f>
        <v/>
      </c>
      <c r="AT48" s="1" t="str">
        <f>IF(ISBLANK(Prices!AT46),"",Prices!AT46)</f>
        <v/>
      </c>
      <c r="AU48" s="1" t="str">
        <f>IF(ISBLANK(Prices!AU46),"",Prices!AU46)</f>
        <v/>
      </c>
      <c r="AV48" s="1" t="str">
        <f>IF(ISBLANK(Prices!AV46),"",Prices!AV46)</f>
        <v/>
      </c>
      <c r="AW48" s="1" t="str">
        <f>IF(ISBLANK(Prices!AW46),"",Prices!AW46)</f>
        <v/>
      </c>
      <c r="AX48" s="1" t="str">
        <f>IF(ISBLANK(Prices!AX46),"",Prices!AX46)</f>
        <v/>
      </c>
      <c r="AY48" s="1" t="str">
        <f>IF(ISBLANK(Prices!AY46),"",Prices!AY46)</f>
        <v/>
      </c>
      <c r="AZ48" s="1" t="str">
        <f>IF(ISBLANK(Prices!AZ46),"",Prices!AZ46)</f>
        <v/>
      </c>
      <c r="BA48" s="1" t="str">
        <f>IF(ISBLANK(Prices!BA46),"",Prices!BA46)</f>
        <v/>
      </c>
      <c r="BB48" s="1" t="str">
        <f>IF(ISBLANK(Prices!BB46),"",Prices!BB46)</f>
        <v/>
      </c>
      <c r="BC48" s="1" t="str">
        <f>IF(ISBLANK(Prices!BC46),"",Prices!BC46)</f>
        <v/>
      </c>
      <c r="BD48" s="1" t="str">
        <f>IF(ISBLANK(Prices!BD46),"",Prices!BD46)</f>
        <v/>
      </c>
      <c r="BE48" s="1" t="str">
        <f>IF(ISBLANK(Prices!BE46),"",Prices!BE46)</f>
        <v/>
      </c>
      <c r="BF48" s="1" t="str">
        <f>IF(ISBLANK(Prices!BF46),"",Prices!BF46)</f>
        <v/>
      </c>
      <c r="BG48" s="1" t="str">
        <f>IF(ISBLANK(Prices!BG46),"",Prices!BG46)</f>
        <v/>
      </c>
      <c r="BH48" s="1" t="str">
        <f>IF(ISBLANK(Prices!BH46),"",Prices!BH46)</f>
        <v/>
      </c>
      <c r="BI48" s="1" t="str">
        <f>IF(ISBLANK(Prices!BI46),"",Prices!BI46)</f>
        <v/>
      </c>
      <c r="BJ48" s="1" t="str">
        <f>IF(ISBLANK(Prices!BJ46),"",Prices!BJ46)</f>
        <v/>
      </c>
      <c r="BK48" s="1" t="str">
        <f>IF(ISBLANK(Prices!BK46),"",Prices!BK46)</f>
        <v/>
      </c>
      <c r="BL48" s="1" t="str">
        <f>IF(ISBLANK(Prices!BL46),"",Prices!BL46)</f>
        <v/>
      </c>
      <c r="BM48" s="1" t="str">
        <f>IF(ISBLANK(Prices!BM46),"",Prices!BM46)</f>
        <v/>
      </c>
      <c r="BN48" s="1" t="str">
        <f>IF(ISBLANK(Prices!BN46),"",Prices!BN46)</f>
        <v/>
      </c>
      <c r="BO48" s="1" t="str">
        <f>IF(ISBLANK(Prices!BO46),"",Prices!BO46)</f>
        <v/>
      </c>
      <c r="BP48" s="1" t="str">
        <f>IF(ISBLANK(Prices!BP46),"",Prices!BP46)</f>
        <v/>
      </c>
      <c r="BQ48" s="1" t="str">
        <f>IF(ISBLANK(Prices!BQ46),"",Prices!BQ46)</f>
        <v/>
      </c>
      <c r="BR48" s="1" t="str">
        <f>IF(ISBLANK(Prices!BR46),"",Prices!BR46)</f>
        <v/>
      </c>
      <c r="BS48" s="1" t="str">
        <f>IF(ISBLANK(Prices!BS46),"",Prices!BS46)</f>
        <v/>
      </c>
      <c r="BT48" s="1" t="str">
        <f>IF(ISBLANK(Prices!BT46),"",Prices!BT46)</f>
        <v/>
      </c>
      <c r="BU48" s="1" t="str">
        <f>IF(ISBLANK(Prices!BU46),"",Prices!BU46)</f>
        <v/>
      </c>
      <c r="BV48" s="1" t="str">
        <f>IF(ISBLANK(Prices!BV46),"",Prices!BV46)</f>
        <v/>
      </c>
      <c r="BW48" s="1" t="str">
        <f>IF(ISBLANK(Prices!BW46),"",Prices!BW46)</f>
        <v/>
      </c>
      <c r="BX48" s="1" t="str">
        <f>IF(ISBLANK(Prices!BX46),"",Prices!BX46)</f>
        <v/>
      </c>
      <c r="BY48" s="1" t="str">
        <f>IF(ISBLANK(Prices!BY46),"",Prices!BY46)</f>
        <v/>
      </c>
      <c r="BZ48" s="1" t="str">
        <f>IF(ISBLANK(Prices!BZ46),"",Prices!BZ46)</f>
        <v/>
      </c>
      <c r="CA48" s="1" t="str">
        <f>IF(ISBLANK(Prices!CA46),"",Prices!CA46)</f>
        <v/>
      </c>
      <c r="CB48" s="1" t="str">
        <f>IF(ISBLANK(Prices!CB46),"",Prices!CB46)</f>
        <v/>
      </c>
      <c r="CC48" s="1" t="str">
        <f>IF(ISBLANK(Prices!CC46),"",Prices!CC46)</f>
        <v/>
      </c>
      <c r="CD48" s="1" t="str">
        <f>IF(ISBLANK(Prices!CD46),"",Prices!CD46)</f>
        <v/>
      </c>
      <c r="CE48" s="1" t="str">
        <f>IF(ISBLANK(Prices!CE46),"",Prices!CE46)</f>
        <v/>
      </c>
      <c r="CF48" s="1" t="str">
        <f>IF(ISBLANK(Prices!CF46),"",Prices!CF46)</f>
        <v/>
      </c>
      <c r="CG48" s="1" t="str">
        <f>IF(ISBLANK(Prices!CG46),"",Prices!CG46)</f>
        <v/>
      </c>
      <c r="CH48" s="1" t="str">
        <f>IF(ISBLANK(Prices!CH46),"",Prices!CH46)</f>
        <v/>
      </c>
      <c r="CI48" s="1" t="str">
        <f>IF(ISBLANK(Prices!CI46),"",Prices!CI46)</f>
        <v/>
      </c>
      <c r="CJ48" s="1" t="str">
        <f>IF(ISBLANK(Prices!CJ46),"",Prices!CJ46)</f>
        <v/>
      </c>
      <c r="CK48" s="1" t="str">
        <f>IF(ISBLANK(Prices!CK46),"",Prices!CK46)</f>
        <v/>
      </c>
      <c r="CL48" s="1" t="str">
        <f>IF(ISBLANK(Prices!CL46),"",Prices!CL46)</f>
        <v/>
      </c>
      <c r="CM48" s="1" t="str">
        <f>IF(ISBLANK(Prices!CM46),"",Prices!CM46)</f>
        <v/>
      </c>
      <c r="CN48" s="1" t="str">
        <f>IF(ISBLANK(Prices!CN46),"",Prices!CN46)</f>
        <v/>
      </c>
    </row>
    <row r="49" spans="2:92" x14ac:dyDescent="0.25">
      <c r="B49" s="1" t="str">
        <f>IF(ISBLANK(Prices!A47),"",Prices!A47)</f>
        <v/>
      </c>
      <c r="C49" s="1" t="str">
        <f>IF(ISBLANK(Prices!C47),"",Prices!C47)</f>
        <v/>
      </c>
      <c r="D49" s="1" t="str">
        <f>IF(ISBLANK(Prices!D47),"",Prices!D47)</f>
        <v/>
      </c>
      <c r="E49" s="1" t="str">
        <f>IF(ISBLANK(Prices!E47),"",Prices!E47)</f>
        <v/>
      </c>
      <c r="F49" s="1" t="str">
        <f>IF(ISBLANK(Prices!F47),"",Prices!F47)</f>
        <v/>
      </c>
      <c r="G49" s="1" t="str">
        <f>IF(ISBLANK(Prices!G47),"",Prices!G47)</f>
        <v/>
      </c>
      <c r="H49" s="1" t="str">
        <f>IF(ISBLANK(Prices!H47),"",Prices!H47)</f>
        <v/>
      </c>
      <c r="I49" s="1" t="str">
        <f>IF(ISBLANK(Prices!I47),"",Prices!I47)</f>
        <v/>
      </c>
      <c r="J49" s="1" t="str">
        <f>IF(ISBLANK(Prices!J47),"",Prices!J47)</f>
        <v/>
      </c>
      <c r="K49" s="1" t="str">
        <f>IF(ISBLANK(Prices!K47),"",Prices!K47)</f>
        <v/>
      </c>
      <c r="L49" s="1" t="str">
        <f>IF(ISBLANK(Prices!L47),"",Prices!L47)</f>
        <v/>
      </c>
      <c r="M49" s="1" t="str">
        <f>IF(ISBLANK(Prices!M47),"",Prices!M47)</f>
        <v/>
      </c>
      <c r="N49" s="1" t="str">
        <f>IF(ISBLANK(Prices!N47),"",Prices!N47)</f>
        <v/>
      </c>
      <c r="O49" s="1" t="str">
        <f>IF(ISBLANK(Prices!O47),"",Prices!O47)</f>
        <v/>
      </c>
      <c r="P49" s="1" t="str">
        <f>IF(ISBLANK(Prices!P47),"",Prices!P47)</f>
        <v/>
      </c>
      <c r="Q49" s="1" t="str">
        <f>IF(ISBLANK(Prices!Q47),"",Prices!Q47)</f>
        <v/>
      </c>
      <c r="R49" s="1" t="str">
        <f>IF(ISBLANK(Prices!R47),"",Prices!R47)</f>
        <v/>
      </c>
      <c r="S49" s="1" t="str">
        <f>IF(ISBLANK(Prices!S47),"",Prices!S47)</f>
        <v/>
      </c>
      <c r="T49" s="1" t="str">
        <f>IF(ISBLANK(Prices!T47),"",Prices!T47)</f>
        <v/>
      </c>
      <c r="U49" s="1" t="str">
        <f>IF(ISBLANK(Prices!U47),"",Prices!U47)</f>
        <v/>
      </c>
      <c r="V49" s="1" t="str">
        <f>IF(ISBLANK(Prices!V47),"",Prices!V47)</f>
        <v/>
      </c>
      <c r="W49" s="1" t="str">
        <f>IF(ISBLANK(Prices!W47),"",Prices!W47)</f>
        <v/>
      </c>
      <c r="X49" s="1" t="str">
        <f>IF(ISBLANK(Prices!X47),"",Prices!X47)</f>
        <v/>
      </c>
      <c r="Y49" s="1" t="str">
        <f>IF(ISBLANK(Prices!Y47),"",Prices!Y47)</f>
        <v/>
      </c>
      <c r="Z49" s="1" t="str">
        <f>IF(ISBLANK(Prices!Z47),"",Prices!Z47)</f>
        <v/>
      </c>
      <c r="AA49" s="1" t="str">
        <f>IF(ISBLANK(Prices!AA47),"",Prices!AA47)</f>
        <v/>
      </c>
      <c r="AB49" s="1" t="str">
        <f>IF(ISBLANK(Prices!AB47),"",Prices!AB47)</f>
        <v/>
      </c>
      <c r="AC49" s="1" t="str">
        <f>IF(ISBLANK(Prices!AC47),"",Prices!AC47)</f>
        <v/>
      </c>
      <c r="AD49" s="1" t="str">
        <f>IF(ISBLANK(Prices!AD47),"",Prices!AD47)</f>
        <v/>
      </c>
      <c r="AE49" s="1" t="str">
        <f>IF(ISBLANK(Prices!AE47),"",Prices!AE47)</f>
        <v/>
      </c>
      <c r="AF49" s="1" t="str">
        <f>IF(ISBLANK(Prices!AF47),"",Prices!AF47)</f>
        <v/>
      </c>
      <c r="AG49" s="1" t="str">
        <f>IF(ISBLANK(Prices!AG47),"",Prices!AG47)</f>
        <v/>
      </c>
      <c r="AH49" s="1" t="str">
        <f>IF(ISBLANK(Prices!AH47),"",Prices!AH47)</f>
        <v/>
      </c>
      <c r="AI49" s="1" t="str">
        <f>IF(ISBLANK(Prices!AI47),"",Prices!AI47)</f>
        <v/>
      </c>
      <c r="AJ49" s="1" t="str">
        <f>IF(ISBLANK(Prices!AJ47),"",Prices!AJ47)</f>
        <v/>
      </c>
      <c r="AK49" s="1" t="str">
        <f>IF(ISBLANK(Prices!AK47),"",Prices!AK47)</f>
        <v/>
      </c>
      <c r="AL49" s="1" t="str">
        <f>IF(ISBLANK(Prices!AL47),"",Prices!AL47)</f>
        <v/>
      </c>
      <c r="AM49" s="1" t="str">
        <f>IF(ISBLANK(Prices!AM47),"",Prices!AM47)</f>
        <v/>
      </c>
      <c r="AN49" s="1" t="str">
        <f>IF(ISBLANK(Prices!AN47),"",Prices!AN47)</f>
        <v/>
      </c>
      <c r="AO49" s="1" t="str">
        <f>IF(ISBLANK(Prices!AO47),"",Prices!AO47)</f>
        <v/>
      </c>
      <c r="AP49" s="1" t="str">
        <f>IF(ISBLANK(Prices!AP47),"",Prices!AP47)</f>
        <v/>
      </c>
      <c r="AQ49" s="1" t="str">
        <f>IF(ISBLANK(Prices!AQ47),"",Prices!AQ47)</f>
        <v/>
      </c>
      <c r="AR49" s="1" t="str">
        <f>IF(ISBLANK(Prices!AR47),"",Prices!AR47)</f>
        <v/>
      </c>
      <c r="AS49" s="1" t="str">
        <f>IF(ISBLANK(Prices!AS47),"",Prices!AS47)</f>
        <v/>
      </c>
      <c r="AT49" s="1" t="str">
        <f>IF(ISBLANK(Prices!AT47),"",Prices!AT47)</f>
        <v/>
      </c>
      <c r="AU49" s="1" t="str">
        <f>IF(ISBLANK(Prices!AU47),"",Prices!AU47)</f>
        <v/>
      </c>
      <c r="AV49" s="1" t="str">
        <f>IF(ISBLANK(Prices!AV47),"",Prices!AV47)</f>
        <v/>
      </c>
      <c r="AW49" s="1" t="str">
        <f>IF(ISBLANK(Prices!AW47),"",Prices!AW47)</f>
        <v/>
      </c>
      <c r="AX49" s="1" t="str">
        <f>IF(ISBLANK(Prices!AX47),"",Prices!AX47)</f>
        <v/>
      </c>
      <c r="AY49" s="1" t="str">
        <f>IF(ISBLANK(Prices!AY47),"",Prices!AY47)</f>
        <v/>
      </c>
      <c r="AZ49" s="1" t="str">
        <f>IF(ISBLANK(Prices!AZ47),"",Prices!AZ47)</f>
        <v/>
      </c>
      <c r="BA49" s="1" t="str">
        <f>IF(ISBLANK(Prices!BA47),"",Prices!BA47)</f>
        <v/>
      </c>
      <c r="BB49" s="1" t="str">
        <f>IF(ISBLANK(Prices!BB47),"",Prices!BB47)</f>
        <v/>
      </c>
      <c r="BC49" s="1" t="str">
        <f>IF(ISBLANK(Prices!BC47),"",Prices!BC47)</f>
        <v/>
      </c>
      <c r="BD49" s="1" t="str">
        <f>IF(ISBLANK(Prices!BD47),"",Prices!BD47)</f>
        <v/>
      </c>
      <c r="BE49" s="1" t="str">
        <f>IF(ISBLANK(Prices!BE47),"",Prices!BE47)</f>
        <v/>
      </c>
      <c r="BF49" s="1" t="str">
        <f>IF(ISBLANK(Prices!BF47),"",Prices!BF47)</f>
        <v/>
      </c>
      <c r="BG49" s="1" t="str">
        <f>IF(ISBLANK(Prices!BG47),"",Prices!BG47)</f>
        <v/>
      </c>
      <c r="BH49" s="1" t="str">
        <f>IF(ISBLANK(Prices!BH47),"",Prices!BH47)</f>
        <v/>
      </c>
      <c r="BI49" s="1" t="str">
        <f>IF(ISBLANK(Prices!BI47),"",Prices!BI47)</f>
        <v/>
      </c>
      <c r="BJ49" s="1" t="str">
        <f>IF(ISBLANK(Prices!BJ47),"",Prices!BJ47)</f>
        <v/>
      </c>
      <c r="BK49" s="1" t="str">
        <f>IF(ISBLANK(Prices!BK47),"",Prices!BK47)</f>
        <v/>
      </c>
      <c r="BL49" s="1" t="str">
        <f>IF(ISBLANK(Prices!BL47),"",Prices!BL47)</f>
        <v/>
      </c>
      <c r="BM49" s="1" t="str">
        <f>IF(ISBLANK(Prices!BM47),"",Prices!BM47)</f>
        <v/>
      </c>
      <c r="BN49" s="1" t="str">
        <f>IF(ISBLANK(Prices!BN47),"",Prices!BN47)</f>
        <v/>
      </c>
      <c r="BO49" s="1" t="str">
        <f>IF(ISBLANK(Prices!BO47),"",Prices!BO47)</f>
        <v/>
      </c>
      <c r="BP49" s="1" t="str">
        <f>IF(ISBLANK(Prices!BP47),"",Prices!BP47)</f>
        <v/>
      </c>
      <c r="BQ49" s="1" t="str">
        <f>IF(ISBLANK(Prices!BQ47),"",Prices!BQ47)</f>
        <v/>
      </c>
      <c r="BR49" s="1" t="str">
        <f>IF(ISBLANK(Prices!BR47),"",Prices!BR47)</f>
        <v/>
      </c>
      <c r="BS49" s="1" t="str">
        <f>IF(ISBLANK(Prices!BS47),"",Prices!BS47)</f>
        <v/>
      </c>
      <c r="BT49" s="1" t="str">
        <f>IF(ISBLANK(Prices!BT47),"",Prices!BT47)</f>
        <v/>
      </c>
      <c r="BU49" s="1" t="str">
        <f>IF(ISBLANK(Prices!BU47),"",Prices!BU47)</f>
        <v/>
      </c>
      <c r="BV49" s="1" t="str">
        <f>IF(ISBLANK(Prices!BV47),"",Prices!BV47)</f>
        <v/>
      </c>
      <c r="BW49" s="1" t="str">
        <f>IF(ISBLANK(Prices!BW47),"",Prices!BW47)</f>
        <v/>
      </c>
      <c r="BX49" s="1" t="str">
        <f>IF(ISBLANK(Prices!BX47),"",Prices!BX47)</f>
        <v/>
      </c>
      <c r="BY49" s="1" t="str">
        <f>IF(ISBLANK(Prices!BY47),"",Prices!BY47)</f>
        <v/>
      </c>
      <c r="BZ49" s="1" t="str">
        <f>IF(ISBLANK(Prices!BZ47),"",Prices!BZ47)</f>
        <v/>
      </c>
      <c r="CA49" s="1" t="str">
        <f>IF(ISBLANK(Prices!CA47),"",Prices!CA47)</f>
        <v/>
      </c>
      <c r="CB49" s="1" t="str">
        <f>IF(ISBLANK(Prices!CB47),"",Prices!CB47)</f>
        <v/>
      </c>
      <c r="CC49" s="1" t="str">
        <f>IF(ISBLANK(Prices!CC47),"",Prices!CC47)</f>
        <v/>
      </c>
      <c r="CD49" s="1" t="str">
        <f>IF(ISBLANK(Prices!CD47),"",Prices!CD47)</f>
        <v/>
      </c>
      <c r="CE49" s="1" t="str">
        <f>IF(ISBLANK(Prices!CE47),"",Prices!CE47)</f>
        <v/>
      </c>
      <c r="CF49" s="1" t="str">
        <f>IF(ISBLANK(Prices!CF47),"",Prices!CF47)</f>
        <v/>
      </c>
      <c r="CG49" s="1" t="str">
        <f>IF(ISBLANK(Prices!CG47),"",Prices!CG47)</f>
        <v/>
      </c>
      <c r="CH49" s="1" t="str">
        <f>IF(ISBLANK(Prices!CH47),"",Prices!CH47)</f>
        <v/>
      </c>
      <c r="CI49" s="1" t="str">
        <f>IF(ISBLANK(Prices!CI47),"",Prices!CI47)</f>
        <v/>
      </c>
      <c r="CJ49" s="1" t="str">
        <f>IF(ISBLANK(Prices!CJ47),"",Prices!CJ47)</f>
        <v/>
      </c>
      <c r="CK49" s="1" t="str">
        <f>IF(ISBLANK(Prices!CK47),"",Prices!CK47)</f>
        <v/>
      </c>
      <c r="CL49" s="1" t="str">
        <f>IF(ISBLANK(Prices!CL47),"",Prices!CL47)</f>
        <v/>
      </c>
      <c r="CM49" s="1" t="str">
        <f>IF(ISBLANK(Prices!CM47),"",Prices!CM47)</f>
        <v/>
      </c>
      <c r="CN49" s="1" t="str">
        <f>IF(ISBLANK(Prices!CN47),"",Prices!CN47)</f>
        <v/>
      </c>
    </row>
    <row r="50" spans="2:92" x14ac:dyDescent="0.25">
      <c r="B50" s="1" t="str">
        <f>IF(ISBLANK(Prices!A48),"",Prices!A48)</f>
        <v/>
      </c>
      <c r="C50" s="1" t="str">
        <f>IF(ISBLANK(Prices!C48),"",Prices!C48)</f>
        <v/>
      </c>
      <c r="D50" s="1" t="str">
        <f>IF(ISBLANK(Prices!D48),"",Prices!D48)</f>
        <v/>
      </c>
      <c r="E50" s="1" t="str">
        <f>IF(ISBLANK(Prices!E48),"",Prices!E48)</f>
        <v/>
      </c>
      <c r="F50" s="1" t="str">
        <f>IF(ISBLANK(Prices!F48),"",Prices!F48)</f>
        <v/>
      </c>
      <c r="G50" s="1" t="str">
        <f>IF(ISBLANK(Prices!G48),"",Prices!G48)</f>
        <v/>
      </c>
      <c r="H50" s="1" t="str">
        <f>IF(ISBLANK(Prices!H48),"",Prices!H48)</f>
        <v/>
      </c>
      <c r="I50" s="1" t="str">
        <f>IF(ISBLANK(Prices!I48),"",Prices!I48)</f>
        <v/>
      </c>
      <c r="J50" s="1" t="str">
        <f>IF(ISBLANK(Prices!J48),"",Prices!J48)</f>
        <v/>
      </c>
      <c r="K50" s="1" t="str">
        <f>IF(ISBLANK(Prices!K48),"",Prices!K48)</f>
        <v/>
      </c>
      <c r="L50" s="1" t="str">
        <f>IF(ISBLANK(Prices!L48),"",Prices!L48)</f>
        <v/>
      </c>
      <c r="M50" s="1" t="str">
        <f>IF(ISBLANK(Prices!M48),"",Prices!M48)</f>
        <v/>
      </c>
      <c r="N50" s="1" t="str">
        <f>IF(ISBLANK(Prices!N48),"",Prices!N48)</f>
        <v/>
      </c>
      <c r="O50" s="1" t="str">
        <f>IF(ISBLANK(Prices!O48),"",Prices!O48)</f>
        <v/>
      </c>
      <c r="P50" s="1" t="str">
        <f>IF(ISBLANK(Prices!P48),"",Prices!P48)</f>
        <v/>
      </c>
      <c r="Q50" s="1" t="str">
        <f>IF(ISBLANK(Prices!Q48),"",Prices!Q48)</f>
        <v/>
      </c>
      <c r="R50" s="1" t="str">
        <f>IF(ISBLANK(Prices!R48),"",Prices!R48)</f>
        <v/>
      </c>
      <c r="S50" s="1" t="str">
        <f>IF(ISBLANK(Prices!S48),"",Prices!S48)</f>
        <v/>
      </c>
      <c r="T50" s="1" t="str">
        <f>IF(ISBLANK(Prices!T48),"",Prices!T48)</f>
        <v/>
      </c>
      <c r="U50" s="1" t="str">
        <f>IF(ISBLANK(Prices!U48),"",Prices!U48)</f>
        <v/>
      </c>
      <c r="V50" s="1" t="str">
        <f>IF(ISBLANK(Prices!V48),"",Prices!V48)</f>
        <v/>
      </c>
      <c r="W50" s="1" t="str">
        <f>IF(ISBLANK(Prices!W48),"",Prices!W48)</f>
        <v/>
      </c>
      <c r="X50" s="1" t="str">
        <f>IF(ISBLANK(Prices!X48),"",Prices!X48)</f>
        <v/>
      </c>
      <c r="Y50" s="1" t="str">
        <f>IF(ISBLANK(Prices!Y48),"",Prices!Y48)</f>
        <v/>
      </c>
      <c r="Z50" s="1" t="str">
        <f>IF(ISBLANK(Prices!Z48),"",Prices!Z48)</f>
        <v/>
      </c>
      <c r="AA50" s="1" t="str">
        <f>IF(ISBLANK(Prices!AA48),"",Prices!AA48)</f>
        <v/>
      </c>
      <c r="AB50" s="1" t="str">
        <f>IF(ISBLANK(Prices!AB48),"",Prices!AB48)</f>
        <v/>
      </c>
      <c r="AC50" s="1" t="str">
        <f>IF(ISBLANK(Prices!AC48),"",Prices!AC48)</f>
        <v/>
      </c>
      <c r="AD50" s="1" t="str">
        <f>IF(ISBLANK(Prices!AD48),"",Prices!AD48)</f>
        <v/>
      </c>
      <c r="AE50" s="1" t="str">
        <f>IF(ISBLANK(Prices!AE48),"",Prices!AE48)</f>
        <v/>
      </c>
      <c r="AF50" s="1" t="str">
        <f>IF(ISBLANK(Prices!AF48),"",Prices!AF48)</f>
        <v/>
      </c>
      <c r="AG50" s="1" t="str">
        <f>IF(ISBLANK(Prices!AG48),"",Prices!AG48)</f>
        <v/>
      </c>
      <c r="AH50" s="1" t="str">
        <f>IF(ISBLANK(Prices!AH48),"",Prices!AH48)</f>
        <v/>
      </c>
      <c r="AI50" s="1" t="str">
        <f>IF(ISBLANK(Prices!AI48),"",Prices!AI48)</f>
        <v/>
      </c>
      <c r="AJ50" s="1" t="str">
        <f>IF(ISBLANK(Prices!AJ48),"",Prices!AJ48)</f>
        <v/>
      </c>
      <c r="AK50" s="1" t="str">
        <f>IF(ISBLANK(Prices!AK48),"",Prices!AK48)</f>
        <v/>
      </c>
      <c r="AL50" s="1" t="str">
        <f>IF(ISBLANK(Prices!AL48),"",Prices!AL48)</f>
        <v/>
      </c>
      <c r="AM50" s="1" t="str">
        <f>IF(ISBLANK(Prices!AM48),"",Prices!AM48)</f>
        <v/>
      </c>
      <c r="AN50" s="1" t="str">
        <f>IF(ISBLANK(Prices!AN48),"",Prices!AN48)</f>
        <v/>
      </c>
      <c r="AO50" s="1" t="str">
        <f>IF(ISBLANK(Prices!AO48),"",Prices!AO48)</f>
        <v/>
      </c>
      <c r="AP50" s="1" t="str">
        <f>IF(ISBLANK(Prices!AP48),"",Prices!AP48)</f>
        <v/>
      </c>
      <c r="AQ50" s="1" t="str">
        <f>IF(ISBLANK(Prices!AQ48),"",Prices!AQ48)</f>
        <v/>
      </c>
      <c r="AR50" s="1" t="str">
        <f>IF(ISBLANK(Prices!AR48),"",Prices!AR48)</f>
        <v/>
      </c>
      <c r="AS50" s="1" t="str">
        <f>IF(ISBLANK(Prices!AS48),"",Prices!AS48)</f>
        <v/>
      </c>
      <c r="AT50" s="1" t="str">
        <f>IF(ISBLANK(Prices!AT48),"",Prices!AT48)</f>
        <v/>
      </c>
      <c r="AU50" s="1" t="str">
        <f>IF(ISBLANK(Prices!AU48),"",Prices!AU48)</f>
        <v/>
      </c>
      <c r="AV50" s="1" t="str">
        <f>IF(ISBLANK(Prices!AV48),"",Prices!AV48)</f>
        <v/>
      </c>
      <c r="AW50" s="1" t="str">
        <f>IF(ISBLANK(Prices!AW48),"",Prices!AW48)</f>
        <v/>
      </c>
      <c r="AX50" s="1" t="str">
        <f>IF(ISBLANK(Prices!AX48),"",Prices!AX48)</f>
        <v/>
      </c>
      <c r="AY50" s="1" t="str">
        <f>IF(ISBLANK(Prices!AY48),"",Prices!AY48)</f>
        <v/>
      </c>
      <c r="AZ50" s="1" t="str">
        <f>IF(ISBLANK(Prices!AZ48),"",Prices!AZ48)</f>
        <v/>
      </c>
      <c r="BA50" s="1" t="str">
        <f>IF(ISBLANK(Prices!BA48),"",Prices!BA48)</f>
        <v/>
      </c>
      <c r="BB50" s="1" t="str">
        <f>IF(ISBLANK(Prices!BB48),"",Prices!BB48)</f>
        <v/>
      </c>
      <c r="BC50" s="1" t="str">
        <f>IF(ISBLANK(Prices!BC48),"",Prices!BC48)</f>
        <v/>
      </c>
      <c r="BD50" s="1" t="str">
        <f>IF(ISBLANK(Prices!BD48),"",Prices!BD48)</f>
        <v/>
      </c>
      <c r="BE50" s="1" t="str">
        <f>IF(ISBLANK(Prices!BE48),"",Prices!BE48)</f>
        <v/>
      </c>
      <c r="BF50" s="1" t="str">
        <f>IF(ISBLANK(Prices!BF48),"",Prices!BF48)</f>
        <v/>
      </c>
      <c r="BG50" s="1" t="str">
        <f>IF(ISBLANK(Prices!BG48),"",Prices!BG48)</f>
        <v/>
      </c>
      <c r="BH50" s="1" t="str">
        <f>IF(ISBLANK(Prices!BH48),"",Prices!BH48)</f>
        <v/>
      </c>
      <c r="BI50" s="1" t="str">
        <f>IF(ISBLANK(Prices!BI48),"",Prices!BI48)</f>
        <v/>
      </c>
      <c r="BJ50" s="1" t="str">
        <f>IF(ISBLANK(Prices!BJ48),"",Prices!BJ48)</f>
        <v/>
      </c>
      <c r="BK50" s="1" t="str">
        <f>IF(ISBLANK(Prices!BK48),"",Prices!BK48)</f>
        <v/>
      </c>
      <c r="BL50" s="1" t="str">
        <f>IF(ISBLANK(Prices!BL48),"",Prices!BL48)</f>
        <v/>
      </c>
      <c r="BM50" s="1" t="str">
        <f>IF(ISBLANK(Prices!BM48),"",Prices!BM48)</f>
        <v/>
      </c>
      <c r="BN50" s="1" t="str">
        <f>IF(ISBLANK(Prices!BN48),"",Prices!BN48)</f>
        <v/>
      </c>
      <c r="BO50" s="1" t="str">
        <f>IF(ISBLANK(Prices!BO48),"",Prices!BO48)</f>
        <v/>
      </c>
      <c r="BP50" s="1" t="str">
        <f>IF(ISBLANK(Prices!BP48),"",Prices!BP48)</f>
        <v/>
      </c>
      <c r="BQ50" s="1" t="str">
        <f>IF(ISBLANK(Prices!BQ48),"",Prices!BQ48)</f>
        <v/>
      </c>
      <c r="BR50" s="1" t="str">
        <f>IF(ISBLANK(Prices!BR48),"",Prices!BR48)</f>
        <v/>
      </c>
      <c r="BS50" s="1" t="str">
        <f>IF(ISBLANK(Prices!BS48),"",Prices!BS48)</f>
        <v/>
      </c>
      <c r="BT50" s="1" t="str">
        <f>IF(ISBLANK(Prices!BT48),"",Prices!BT48)</f>
        <v/>
      </c>
      <c r="BU50" s="1" t="str">
        <f>IF(ISBLANK(Prices!BU48),"",Prices!BU48)</f>
        <v/>
      </c>
      <c r="BV50" s="1" t="str">
        <f>IF(ISBLANK(Prices!BV48),"",Prices!BV48)</f>
        <v/>
      </c>
      <c r="BW50" s="1" t="str">
        <f>IF(ISBLANK(Prices!BW48),"",Prices!BW48)</f>
        <v/>
      </c>
      <c r="BX50" s="1" t="str">
        <f>IF(ISBLANK(Prices!BX48),"",Prices!BX48)</f>
        <v/>
      </c>
      <c r="BY50" s="1" t="str">
        <f>IF(ISBLANK(Prices!BY48),"",Prices!BY48)</f>
        <v/>
      </c>
      <c r="BZ50" s="1" t="str">
        <f>IF(ISBLANK(Prices!BZ48),"",Prices!BZ48)</f>
        <v/>
      </c>
      <c r="CA50" s="1" t="str">
        <f>IF(ISBLANK(Prices!CA48),"",Prices!CA48)</f>
        <v/>
      </c>
      <c r="CB50" s="1" t="str">
        <f>IF(ISBLANK(Prices!CB48),"",Prices!CB48)</f>
        <v/>
      </c>
      <c r="CC50" s="1" t="str">
        <f>IF(ISBLANK(Prices!CC48),"",Prices!CC48)</f>
        <v/>
      </c>
      <c r="CD50" s="1" t="str">
        <f>IF(ISBLANK(Prices!CD48),"",Prices!CD48)</f>
        <v/>
      </c>
      <c r="CE50" s="1" t="str">
        <f>IF(ISBLANK(Prices!CE48),"",Prices!CE48)</f>
        <v/>
      </c>
      <c r="CF50" s="1" t="str">
        <f>IF(ISBLANK(Prices!CF48),"",Prices!CF48)</f>
        <v/>
      </c>
      <c r="CG50" s="1" t="str">
        <f>IF(ISBLANK(Prices!CG48),"",Prices!CG48)</f>
        <v/>
      </c>
      <c r="CH50" s="1" t="str">
        <f>IF(ISBLANK(Prices!CH48),"",Prices!CH48)</f>
        <v/>
      </c>
      <c r="CI50" s="1" t="str">
        <f>IF(ISBLANK(Prices!CI48),"",Prices!CI48)</f>
        <v/>
      </c>
      <c r="CJ50" s="1" t="str">
        <f>IF(ISBLANK(Prices!CJ48),"",Prices!CJ48)</f>
        <v/>
      </c>
      <c r="CK50" s="1" t="str">
        <f>IF(ISBLANK(Prices!CK48),"",Prices!CK48)</f>
        <v/>
      </c>
      <c r="CL50" s="1" t="str">
        <f>IF(ISBLANK(Prices!CL48),"",Prices!CL48)</f>
        <v/>
      </c>
      <c r="CM50" s="1" t="str">
        <f>IF(ISBLANK(Prices!CM48),"",Prices!CM48)</f>
        <v/>
      </c>
      <c r="CN50" s="1" t="str">
        <f>IF(ISBLANK(Prices!CN48),"",Prices!CN48)</f>
        <v/>
      </c>
    </row>
    <row r="51" spans="2:92" x14ac:dyDescent="0.25">
      <c r="B51" s="1" t="str">
        <f>IF(ISBLANK(Prices!A49),"",Prices!A49)</f>
        <v/>
      </c>
      <c r="C51" s="1" t="str">
        <f>IF(ISBLANK(Prices!C49),"",Prices!C49)</f>
        <v/>
      </c>
      <c r="D51" s="1" t="str">
        <f>IF(ISBLANK(Prices!D49),"",Prices!D49)</f>
        <v/>
      </c>
      <c r="E51" s="1" t="str">
        <f>IF(ISBLANK(Prices!E49),"",Prices!E49)</f>
        <v/>
      </c>
      <c r="F51" s="1" t="str">
        <f>IF(ISBLANK(Prices!F49),"",Prices!F49)</f>
        <v/>
      </c>
      <c r="G51" s="1" t="str">
        <f>IF(ISBLANK(Prices!G49),"",Prices!G49)</f>
        <v/>
      </c>
      <c r="H51" s="1" t="str">
        <f>IF(ISBLANK(Prices!H49),"",Prices!H49)</f>
        <v/>
      </c>
      <c r="I51" s="1" t="str">
        <f>IF(ISBLANK(Prices!I49),"",Prices!I49)</f>
        <v/>
      </c>
      <c r="J51" s="1" t="str">
        <f>IF(ISBLANK(Prices!J49),"",Prices!J49)</f>
        <v/>
      </c>
      <c r="K51" s="1" t="str">
        <f>IF(ISBLANK(Prices!K49),"",Prices!K49)</f>
        <v/>
      </c>
      <c r="L51" s="1" t="str">
        <f>IF(ISBLANK(Prices!L49),"",Prices!L49)</f>
        <v/>
      </c>
      <c r="M51" s="1" t="str">
        <f>IF(ISBLANK(Prices!M49),"",Prices!M49)</f>
        <v/>
      </c>
      <c r="N51" s="1" t="str">
        <f>IF(ISBLANK(Prices!N49),"",Prices!N49)</f>
        <v/>
      </c>
      <c r="O51" s="1" t="str">
        <f>IF(ISBLANK(Prices!O49),"",Prices!O49)</f>
        <v/>
      </c>
      <c r="P51" s="1" t="str">
        <f>IF(ISBLANK(Prices!P49),"",Prices!P49)</f>
        <v/>
      </c>
      <c r="Q51" s="1" t="str">
        <f>IF(ISBLANK(Prices!Q49),"",Prices!Q49)</f>
        <v/>
      </c>
      <c r="R51" s="1" t="str">
        <f>IF(ISBLANK(Prices!R49),"",Prices!R49)</f>
        <v/>
      </c>
      <c r="S51" s="1" t="str">
        <f>IF(ISBLANK(Prices!S49),"",Prices!S49)</f>
        <v/>
      </c>
      <c r="T51" s="1" t="str">
        <f>IF(ISBLANK(Prices!T49),"",Prices!T49)</f>
        <v/>
      </c>
      <c r="U51" s="1" t="str">
        <f>IF(ISBLANK(Prices!U49),"",Prices!U49)</f>
        <v/>
      </c>
      <c r="V51" s="1" t="str">
        <f>IF(ISBLANK(Prices!V49),"",Prices!V49)</f>
        <v/>
      </c>
      <c r="W51" s="1" t="str">
        <f>IF(ISBLANK(Prices!W49),"",Prices!W49)</f>
        <v/>
      </c>
      <c r="X51" s="1" t="str">
        <f>IF(ISBLANK(Prices!X49),"",Prices!X49)</f>
        <v/>
      </c>
      <c r="Y51" s="1" t="str">
        <f>IF(ISBLANK(Prices!Y49),"",Prices!Y49)</f>
        <v/>
      </c>
      <c r="Z51" s="1" t="str">
        <f>IF(ISBLANK(Prices!Z49),"",Prices!Z49)</f>
        <v/>
      </c>
      <c r="AA51" s="1" t="str">
        <f>IF(ISBLANK(Prices!AA49),"",Prices!AA49)</f>
        <v/>
      </c>
      <c r="AB51" s="1" t="str">
        <f>IF(ISBLANK(Prices!AB49),"",Prices!AB49)</f>
        <v/>
      </c>
      <c r="AC51" s="1" t="str">
        <f>IF(ISBLANK(Prices!AC49),"",Prices!AC49)</f>
        <v/>
      </c>
      <c r="AD51" s="1" t="str">
        <f>IF(ISBLANK(Prices!AD49),"",Prices!AD49)</f>
        <v/>
      </c>
      <c r="AE51" s="1" t="str">
        <f>IF(ISBLANK(Prices!AE49),"",Prices!AE49)</f>
        <v/>
      </c>
      <c r="AF51" s="1" t="str">
        <f>IF(ISBLANK(Prices!AF49),"",Prices!AF49)</f>
        <v/>
      </c>
      <c r="AG51" s="1" t="str">
        <f>IF(ISBLANK(Prices!AG49),"",Prices!AG49)</f>
        <v/>
      </c>
      <c r="AH51" s="1" t="str">
        <f>IF(ISBLANK(Prices!AH49),"",Prices!AH49)</f>
        <v/>
      </c>
      <c r="AI51" s="1" t="str">
        <f>IF(ISBLANK(Prices!AI49),"",Prices!AI49)</f>
        <v/>
      </c>
      <c r="AJ51" s="1" t="str">
        <f>IF(ISBLANK(Prices!AJ49),"",Prices!AJ49)</f>
        <v/>
      </c>
      <c r="AK51" s="1" t="str">
        <f>IF(ISBLANK(Prices!AK49),"",Prices!AK49)</f>
        <v/>
      </c>
      <c r="AL51" s="1" t="str">
        <f>IF(ISBLANK(Prices!AL49),"",Prices!AL49)</f>
        <v/>
      </c>
      <c r="AM51" s="1" t="str">
        <f>IF(ISBLANK(Prices!AM49),"",Prices!AM49)</f>
        <v/>
      </c>
      <c r="AN51" s="1" t="str">
        <f>IF(ISBLANK(Prices!AN49),"",Prices!AN49)</f>
        <v/>
      </c>
      <c r="AO51" s="1" t="str">
        <f>IF(ISBLANK(Prices!AO49),"",Prices!AO49)</f>
        <v/>
      </c>
      <c r="AP51" s="1" t="str">
        <f>IF(ISBLANK(Prices!AP49),"",Prices!AP49)</f>
        <v/>
      </c>
      <c r="AQ51" s="1" t="str">
        <f>IF(ISBLANK(Prices!AQ49),"",Prices!AQ49)</f>
        <v/>
      </c>
      <c r="AR51" s="1" t="str">
        <f>IF(ISBLANK(Prices!AR49),"",Prices!AR49)</f>
        <v/>
      </c>
      <c r="AS51" s="1" t="str">
        <f>IF(ISBLANK(Prices!AS49),"",Prices!AS49)</f>
        <v/>
      </c>
      <c r="AT51" s="1" t="str">
        <f>IF(ISBLANK(Prices!AT49),"",Prices!AT49)</f>
        <v/>
      </c>
      <c r="AU51" s="1" t="str">
        <f>IF(ISBLANK(Prices!AU49),"",Prices!AU49)</f>
        <v/>
      </c>
      <c r="AV51" s="1" t="str">
        <f>IF(ISBLANK(Prices!AV49),"",Prices!AV49)</f>
        <v/>
      </c>
      <c r="AW51" s="1" t="str">
        <f>IF(ISBLANK(Prices!AW49),"",Prices!AW49)</f>
        <v/>
      </c>
      <c r="AX51" s="1" t="str">
        <f>IF(ISBLANK(Prices!AX49),"",Prices!AX49)</f>
        <v/>
      </c>
      <c r="AY51" s="1" t="str">
        <f>IF(ISBLANK(Prices!AY49),"",Prices!AY49)</f>
        <v/>
      </c>
      <c r="AZ51" s="1" t="str">
        <f>IF(ISBLANK(Prices!AZ49),"",Prices!AZ49)</f>
        <v/>
      </c>
      <c r="BA51" s="1" t="str">
        <f>IF(ISBLANK(Prices!BA49),"",Prices!BA49)</f>
        <v/>
      </c>
      <c r="BB51" s="1" t="str">
        <f>IF(ISBLANK(Prices!BB49),"",Prices!BB49)</f>
        <v/>
      </c>
      <c r="BC51" s="1" t="str">
        <f>IF(ISBLANK(Prices!BC49),"",Prices!BC49)</f>
        <v/>
      </c>
      <c r="BD51" s="1" t="str">
        <f>IF(ISBLANK(Prices!BD49),"",Prices!BD49)</f>
        <v/>
      </c>
      <c r="BE51" s="1" t="str">
        <f>IF(ISBLANK(Prices!BE49),"",Prices!BE49)</f>
        <v/>
      </c>
      <c r="BF51" s="1" t="str">
        <f>IF(ISBLANK(Prices!BF49),"",Prices!BF49)</f>
        <v/>
      </c>
      <c r="BG51" s="1" t="str">
        <f>IF(ISBLANK(Prices!BG49),"",Prices!BG49)</f>
        <v/>
      </c>
      <c r="BH51" s="1" t="str">
        <f>IF(ISBLANK(Prices!BH49),"",Prices!BH49)</f>
        <v/>
      </c>
      <c r="BI51" s="1" t="str">
        <f>IF(ISBLANK(Prices!BI49),"",Prices!BI49)</f>
        <v/>
      </c>
      <c r="BJ51" s="1" t="str">
        <f>IF(ISBLANK(Prices!BJ49),"",Prices!BJ49)</f>
        <v/>
      </c>
      <c r="BK51" s="1" t="str">
        <f>IF(ISBLANK(Prices!BK49),"",Prices!BK49)</f>
        <v/>
      </c>
      <c r="BL51" s="1" t="str">
        <f>IF(ISBLANK(Prices!BL49),"",Prices!BL49)</f>
        <v/>
      </c>
      <c r="BM51" s="1" t="str">
        <f>IF(ISBLANK(Prices!BM49),"",Prices!BM49)</f>
        <v/>
      </c>
      <c r="BN51" s="1" t="str">
        <f>IF(ISBLANK(Prices!BN49),"",Prices!BN49)</f>
        <v/>
      </c>
      <c r="BO51" s="1" t="str">
        <f>IF(ISBLANK(Prices!BO49),"",Prices!BO49)</f>
        <v/>
      </c>
      <c r="BP51" s="1" t="str">
        <f>IF(ISBLANK(Prices!BP49),"",Prices!BP49)</f>
        <v/>
      </c>
      <c r="BQ51" s="1" t="str">
        <f>IF(ISBLANK(Prices!BQ49),"",Prices!BQ49)</f>
        <v/>
      </c>
      <c r="BR51" s="1" t="str">
        <f>IF(ISBLANK(Prices!BR49),"",Prices!BR49)</f>
        <v/>
      </c>
      <c r="BS51" s="1" t="str">
        <f>IF(ISBLANK(Prices!BS49),"",Prices!BS49)</f>
        <v/>
      </c>
      <c r="BT51" s="1" t="str">
        <f>IF(ISBLANK(Prices!BT49),"",Prices!BT49)</f>
        <v/>
      </c>
      <c r="BU51" s="1" t="str">
        <f>IF(ISBLANK(Prices!BU49),"",Prices!BU49)</f>
        <v/>
      </c>
      <c r="BV51" s="1" t="str">
        <f>IF(ISBLANK(Prices!BV49),"",Prices!BV49)</f>
        <v/>
      </c>
      <c r="BW51" s="1" t="str">
        <f>IF(ISBLANK(Prices!BW49),"",Prices!BW49)</f>
        <v/>
      </c>
      <c r="BX51" s="1" t="str">
        <f>IF(ISBLANK(Prices!BX49),"",Prices!BX49)</f>
        <v/>
      </c>
      <c r="BY51" s="1" t="str">
        <f>IF(ISBLANK(Prices!BY49),"",Prices!BY49)</f>
        <v/>
      </c>
      <c r="BZ51" s="1" t="str">
        <f>IF(ISBLANK(Prices!BZ49),"",Prices!BZ49)</f>
        <v/>
      </c>
      <c r="CA51" s="1" t="str">
        <f>IF(ISBLANK(Prices!CA49),"",Prices!CA49)</f>
        <v/>
      </c>
      <c r="CB51" s="1" t="str">
        <f>IF(ISBLANK(Prices!CB49),"",Prices!CB49)</f>
        <v/>
      </c>
      <c r="CC51" s="1" t="str">
        <f>IF(ISBLANK(Prices!CC49),"",Prices!CC49)</f>
        <v/>
      </c>
      <c r="CD51" s="1" t="str">
        <f>IF(ISBLANK(Prices!CD49),"",Prices!CD49)</f>
        <v/>
      </c>
      <c r="CE51" s="1" t="str">
        <f>IF(ISBLANK(Prices!CE49),"",Prices!CE49)</f>
        <v/>
      </c>
      <c r="CF51" s="1" t="str">
        <f>IF(ISBLANK(Prices!CF49),"",Prices!CF49)</f>
        <v/>
      </c>
      <c r="CG51" s="1" t="str">
        <f>IF(ISBLANK(Prices!CG49),"",Prices!CG49)</f>
        <v/>
      </c>
      <c r="CH51" s="1" t="str">
        <f>IF(ISBLANK(Prices!CH49),"",Prices!CH49)</f>
        <v/>
      </c>
      <c r="CI51" s="1" t="str">
        <f>IF(ISBLANK(Prices!CI49),"",Prices!CI49)</f>
        <v/>
      </c>
      <c r="CJ51" s="1" t="str">
        <f>IF(ISBLANK(Prices!CJ49),"",Prices!CJ49)</f>
        <v/>
      </c>
      <c r="CK51" s="1" t="str">
        <f>IF(ISBLANK(Prices!CK49),"",Prices!CK49)</f>
        <v/>
      </c>
      <c r="CL51" s="1" t="str">
        <f>IF(ISBLANK(Prices!CL49),"",Prices!CL49)</f>
        <v/>
      </c>
      <c r="CM51" s="1" t="str">
        <f>IF(ISBLANK(Prices!CM49),"",Prices!CM49)</f>
        <v/>
      </c>
      <c r="CN51" s="1" t="str">
        <f>IF(ISBLANK(Prices!CN49),"",Prices!CN49)</f>
        <v/>
      </c>
    </row>
    <row r="52" spans="2:92" x14ac:dyDescent="0.25">
      <c r="B52" s="1" t="str">
        <f>IF(ISBLANK(Prices!A50),"",Prices!A50)</f>
        <v/>
      </c>
      <c r="C52" s="1" t="str">
        <f>IF(ISBLANK(Prices!C50),"",Prices!C50)</f>
        <v/>
      </c>
      <c r="D52" s="1" t="str">
        <f>IF(ISBLANK(Prices!D50),"",Prices!D50)</f>
        <v/>
      </c>
      <c r="E52" s="1" t="str">
        <f>IF(ISBLANK(Prices!E50),"",Prices!E50)</f>
        <v/>
      </c>
      <c r="F52" s="1" t="str">
        <f>IF(ISBLANK(Prices!F50),"",Prices!F50)</f>
        <v/>
      </c>
      <c r="G52" s="1" t="str">
        <f>IF(ISBLANK(Prices!G50),"",Prices!G50)</f>
        <v/>
      </c>
      <c r="H52" s="1" t="str">
        <f>IF(ISBLANK(Prices!H50),"",Prices!H50)</f>
        <v/>
      </c>
      <c r="I52" s="1" t="str">
        <f>IF(ISBLANK(Prices!I50),"",Prices!I50)</f>
        <v/>
      </c>
      <c r="J52" s="1" t="str">
        <f>IF(ISBLANK(Prices!J50),"",Prices!J50)</f>
        <v/>
      </c>
      <c r="K52" s="1" t="str">
        <f>IF(ISBLANK(Prices!K50),"",Prices!K50)</f>
        <v/>
      </c>
      <c r="L52" s="1" t="str">
        <f>IF(ISBLANK(Prices!L50),"",Prices!L50)</f>
        <v/>
      </c>
      <c r="M52" s="1" t="str">
        <f>IF(ISBLANK(Prices!M50),"",Prices!M50)</f>
        <v/>
      </c>
      <c r="N52" s="1" t="str">
        <f>IF(ISBLANK(Prices!N50),"",Prices!N50)</f>
        <v/>
      </c>
      <c r="O52" s="1" t="str">
        <f>IF(ISBLANK(Prices!O50),"",Prices!O50)</f>
        <v/>
      </c>
      <c r="P52" s="1" t="str">
        <f>IF(ISBLANK(Prices!P50),"",Prices!P50)</f>
        <v/>
      </c>
      <c r="Q52" s="1" t="str">
        <f>IF(ISBLANK(Prices!Q50),"",Prices!Q50)</f>
        <v/>
      </c>
      <c r="R52" s="1" t="str">
        <f>IF(ISBLANK(Prices!R50),"",Prices!R50)</f>
        <v/>
      </c>
      <c r="S52" s="1" t="str">
        <f>IF(ISBLANK(Prices!S50),"",Prices!S50)</f>
        <v/>
      </c>
      <c r="T52" s="1" t="str">
        <f>IF(ISBLANK(Prices!T50),"",Prices!T50)</f>
        <v/>
      </c>
      <c r="U52" s="1" t="str">
        <f>IF(ISBLANK(Prices!U50),"",Prices!U50)</f>
        <v/>
      </c>
      <c r="V52" s="1" t="str">
        <f>IF(ISBLANK(Prices!V50),"",Prices!V50)</f>
        <v/>
      </c>
      <c r="W52" s="1" t="str">
        <f>IF(ISBLANK(Prices!W50),"",Prices!W50)</f>
        <v/>
      </c>
      <c r="X52" s="1" t="str">
        <f>IF(ISBLANK(Prices!X50),"",Prices!X50)</f>
        <v/>
      </c>
      <c r="Y52" s="1" t="str">
        <f>IF(ISBLANK(Prices!Y50),"",Prices!Y50)</f>
        <v/>
      </c>
      <c r="Z52" s="1" t="str">
        <f>IF(ISBLANK(Prices!Z50),"",Prices!Z50)</f>
        <v/>
      </c>
      <c r="AA52" s="1" t="str">
        <f>IF(ISBLANK(Prices!AA50),"",Prices!AA50)</f>
        <v/>
      </c>
      <c r="AB52" s="1" t="str">
        <f>IF(ISBLANK(Prices!AB50),"",Prices!AB50)</f>
        <v/>
      </c>
      <c r="AC52" s="1" t="str">
        <f>IF(ISBLANK(Prices!AC50),"",Prices!AC50)</f>
        <v/>
      </c>
      <c r="AD52" s="1" t="str">
        <f>IF(ISBLANK(Prices!AD50),"",Prices!AD50)</f>
        <v/>
      </c>
      <c r="AE52" s="1" t="str">
        <f>IF(ISBLANK(Prices!AE50),"",Prices!AE50)</f>
        <v/>
      </c>
      <c r="AF52" s="1" t="str">
        <f>IF(ISBLANK(Prices!AF50),"",Prices!AF50)</f>
        <v/>
      </c>
      <c r="AG52" s="1" t="str">
        <f>IF(ISBLANK(Prices!AG50),"",Prices!AG50)</f>
        <v/>
      </c>
      <c r="AH52" s="1" t="str">
        <f>IF(ISBLANK(Prices!AH50),"",Prices!AH50)</f>
        <v/>
      </c>
      <c r="AI52" s="1" t="str">
        <f>IF(ISBLANK(Prices!AI50),"",Prices!AI50)</f>
        <v/>
      </c>
      <c r="AJ52" s="1" t="str">
        <f>IF(ISBLANK(Prices!AJ50),"",Prices!AJ50)</f>
        <v/>
      </c>
      <c r="AK52" s="1" t="str">
        <f>IF(ISBLANK(Prices!AK50),"",Prices!AK50)</f>
        <v/>
      </c>
      <c r="AL52" s="1" t="str">
        <f>IF(ISBLANK(Prices!AL50),"",Prices!AL50)</f>
        <v/>
      </c>
      <c r="AM52" s="1" t="str">
        <f>IF(ISBLANK(Prices!AM50),"",Prices!AM50)</f>
        <v/>
      </c>
      <c r="AN52" s="1" t="str">
        <f>IF(ISBLANK(Prices!AN50),"",Prices!AN50)</f>
        <v/>
      </c>
      <c r="AO52" s="1" t="str">
        <f>IF(ISBLANK(Prices!AO50),"",Prices!AO50)</f>
        <v/>
      </c>
      <c r="AP52" s="1" t="str">
        <f>IF(ISBLANK(Prices!AP50),"",Prices!AP50)</f>
        <v/>
      </c>
      <c r="AQ52" s="1" t="str">
        <f>IF(ISBLANK(Prices!AQ50),"",Prices!AQ50)</f>
        <v/>
      </c>
      <c r="AR52" s="1" t="str">
        <f>IF(ISBLANK(Prices!AR50),"",Prices!AR50)</f>
        <v/>
      </c>
      <c r="AS52" s="1" t="str">
        <f>IF(ISBLANK(Prices!AS50),"",Prices!AS50)</f>
        <v/>
      </c>
      <c r="AT52" s="1" t="str">
        <f>IF(ISBLANK(Prices!AT50),"",Prices!AT50)</f>
        <v/>
      </c>
      <c r="AU52" s="1" t="str">
        <f>IF(ISBLANK(Prices!AU50),"",Prices!AU50)</f>
        <v/>
      </c>
      <c r="AV52" s="1" t="str">
        <f>IF(ISBLANK(Prices!AV50),"",Prices!AV50)</f>
        <v/>
      </c>
      <c r="AW52" s="1" t="str">
        <f>IF(ISBLANK(Prices!AW50),"",Prices!AW50)</f>
        <v/>
      </c>
      <c r="AX52" s="1" t="str">
        <f>IF(ISBLANK(Prices!AX50),"",Prices!AX50)</f>
        <v/>
      </c>
      <c r="AY52" s="1" t="str">
        <f>IF(ISBLANK(Prices!AY50),"",Prices!AY50)</f>
        <v/>
      </c>
      <c r="AZ52" s="1" t="str">
        <f>IF(ISBLANK(Prices!AZ50),"",Prices!AZ50)</f>
        <v/>
      </c>
      <c r="BA52" s="1" t="str">
        <f>IF(ISBLANK(Prices!BA50),"",Prices!BA50)</f>
        <v/>
      </c>
      <c r="BB52" s="1" t="str">
        <f>IF(ISBLANK(Prices!BB50),"",Prices!BB50)</f>
        <v/>
      </c>
      <c r="BC52" s="1" t="str">
        <f>IF(ISBLANK(Prices!BC50),"",Prices!BC50)</f>
        <v/>
      </c>
      <c r="BD52" s="1" t="str">
        <f>IF(ISBLANK(Prices!BD50),"",Prices!BD50)</f>
        <v/>
      </c>
      <c r="BE52" s="1" t="str">
        <f>IF(ISBLANK(Prices!BE50),"",Prices!BE50)</f>
        <v/>
      </c>
      <c r="BF52" s="1" t="str">
        <f>IF(ISBLANK(Prices!BF50),"",Prices!BF50)</f>
        <v/>
      </c>
      <c r="BG52" s="1" t="str">
        <f>IF(ISBLANK(Prices!BG50),"",Prices!BG50)</f>
        <v/>
      </c>
      <c r="BH52" s="1" t="str">
        <f>IF(ISBLANK(Prices!BH50),"",Prices!BH50)</f>
        <v/>
      </c>
      <c r="BI52" s="1" t="str">
        <f>IF(ISBLANK(Prices!BI50),"",Prices!BI50)</f>
        <v/>
      </c>
      <c r="BJ52" s="1" t="str">
        <f>IF(ISBLANK(Prices!BJ50),"",Prices!BJ50)</f>
        <v/>
      </c>
      <c r="BK52" s="1" t="str">
        <f>IF(ISBLANK(Prices!BK50),"",Prices!BK50)</f>
        <v/>
      </c>
      <c r="BL52" s="1" t="str">
        <f>IF(ISBLANK(Prices!BL50),"",Prices!BL50)</f>
        <v/>
      </c>
      <c r="BM52" s="1" t="str">
        <f>IF(ISBLANK(Prices!BM50),"",Prices!BM50)</f>
        <v/>
      </c>
      <c r="BN52" s="1" t="str">
        <f>IF(ISBLANK(Prices!BN50),"",Prices!BN50)</f>
        <v/>
      </c>
      <c r="BO52" s="1" t="str">
        <f>IF(ISBLANK(Prices!BO50),"",Prices!BO50)</f>
        <v/>
      </c>
      <c r="BP52" s="1" t="str">
        <f>IF(ISBLANK(Prices!BP50),"",Prices!BP50)</f>
        <v/>
      </c>
      <c r="BQ52" s="1" t="str">
        <f>IF(ISBLANK(Prices!BQ50),"",Prices!BQ50)</f>
        <v/>
      </c>
      <c r="BR52" s="1" t="str">
        <f>IF(ISBLANK(Prices!BR50),"",Prices!BR50)</f>
        <v/>
      </c>
      <c r="BS52" s="1" t="str">
        <f>IF(ISBLANK(Prices!BS50),"",Prices!BS50)</f>
        <v/>
      </c>
      <c r="BT52" s="1" t="str">
        <f>IF(ISBLANK(Prices!BT50),"",Prices!BT50)</f>
        <v/>
      </c>
      <c r="BU52" s="1" t="str">
        <f>IF(ISBLANK(Prices!BU50),"",Prices!BU50)</f>
        <v/>
      </c>
      <c r="BV52" s="1" t="str">
        <f>IF(ISBLANK(Prices!BV50),"",Prices!BV50)</f>
        <v/>
      </c>
      <c r="BW52" s="1" t="str">
        <f>IF(ISBLANK(Prices!BW50),"",Prices!BW50)</f>
        <v/>
      </c>
      <c r="BX52" s="1" t="str">
        <f>IF(ISBLANK(Prices!BX50),"",Prices!BX50)</f>
        <v/>
      </c>
      <c r="BY52" s="1" t="str">
        <f>IF(ISBLANK(Prices!BY50),"",Prices!BY50)</f>
        <v/>
      </c>
      <c r="BZ52" s="1" t="str">
        <f>IF(ISBLANK(Prices!BZ50),"",Prices!BZ50)</f>
        <v/>
      </c>
      <c r="CA52" s="1" t="str">
        <f>IF(ISBLANK(Prices!CA50),"",Prices!CA50)</f>
        <v/>
      </c>
      <c r="CB52" s="1" t="str">
        <f>IF(ISBLANK(Prices!CB50),"",Prices!CB50)</f>
        <v/>
      </c>
      <c r="CC52" s="1" t="str">
        <f>IF(ISBLANK(Prices!CC50),"",Prices!CC50)</f>
        <v/>
      </c>
      <c r="CD52" s="1" t="str">
        <f>IF(ISBLANK(Prices!CD50),"",Prices!CD50)</f>
        <v/>
      </c>
      <c r="CE52" s="1" t="str">
        <f>IF(ISBLANK(Prices!CE50),"",Prices!CE50)</f>
        <v/>
      </c>
      <c r="CF52" s="1" t="str">
        <f>IF(ISBLANK(Prices!CF50),"",Prices!CF50)</f>
        <v/>
      </c>
      <c r="CG52" s="1" t="str">
        <f>IF(ISBLANK(Prices!CG50),"",Prices!CG50)</f>
        <v/>
      </c>
      <c r="CH52" s="1" t="str">
        <f>IF(ISBLANK(Prices!CH50),"",Prices!CH50)</f>
        <v/>
      </c>
      <c r="CI52" s="1" t="str">
        <f>IF(ISBLANK(Prices!CI50),"",Prices!CI50)</f>
        <v/>
      </c>
      <c r="CJ52" s="1" t="str">
        <f>IF(ISBLANK(Prices!CJ50),"",Prices!CJ50)</f>
        <v/>
      </c>
      <c r="CK52" s="1" t="str">
        <f>IF(ISBLANK(Prices!CK50),"",Prices!CK50)</f>
        <v/>
      </c>
      <c r="CL52" s="1" t="str">
        <f>IF(ISBLANK(Prices!CL50),"",Prices!CL50)</f>
        <v/>
      </c>
      <c r="CM52" s="1" t="str">
        <f>IF(ISBLANK(Prices!CM50),"",Prices!CM50)</f>
        <v/>
      </c>
      <c r="CN52" s="1" t="str">
        <f>IF(ISBLANK(Prices!CN50),"",Prices!CN50)</f>
        <v/>
      </c>
    </row>
    <row r="53" spans="2:92" x14ac:dyDescent="0.25">
      <c r="B53" s="1" t="str">
        <f>IF(ISBLANK(Prices!A51),"",Prices!A51)</f>
        <v/>
      </c>
      <c r="C53" s="1" t="str">
        <f>IF(ISBLANK(Prices!C51),"",Prices!C51)</f>
        <v/>
      </c>
      <c r="D53" s="1" t="str">
        <f>IF(ISBLANK(Prices!D51),"",Prices!D51)</f>
        <v/>
      </c>
      <c r="E53" s="1" t="str">
        <f>IF(ISBLANK(Prices!E51),"",Prices!E51)</f>
        <v/>
      </c>
      <c r="F53" s="1" t="str">
        <f>IF(ISBLANK(Prices!F51),"",Prices!F51)</f>
        <v/>
      </c>
      <c r="G53" s="1" t="str">
        <f>IF(ISBLANK(Prices!G51),"",Prices!G51)</f>
        <v/>
      </c>
      <c r="H53" s="1" t="str">
        <f>IF(ISBLANK(Prices!H51),"",Prices!H51)</f>
        <v/>
      </c>
      <c r="I53" s="1" t="str">
        <f>IF(ISBLANK(Prices!I51),"",Prices!I51)</f>
        <v/>
      </c>
      <c r="J53" s="1" t="str">
        <f>IF(ISBLANK(Prices!J51),"",Prices!J51)</f>
        <v/>
      </c>
      <c r="K53" s="1" t="str">
        <f>IF(ISBLANK(Prices!K51),"",Prices!K51)</f>
        <v/>
      </c>
      <c r="L53" s="1" t="str">
        <f>IF(ISBLANK(Prices!L51),"",Prices!L51)</f>
        <v/>
      </c>
      <c r="M53" s="1" t="str">
        <f>IF(ISBLANK(Prices!M51),"",Prices!M51)</f>
        <v/>
      </c>
      <c r="N53" s="1" t="str">
        <f>IF(ISBLANK(Prices!N51),"",Prices!N51)</f>
        <v/>
      </c>
      <c r="O53" s="1" t="str">
        <f>IF(ISBLANK(Prices!O51),"",Prices!O51)</f>
        <v/>
      </c>
      <c r="P53" s="1" t="str">
        <f>IF(ISBLANK(Prices!P51),"",Prices!P51)</f>
        <v/>
      </c>
      <c r="Q53" s="1" t="str">
        <f>IF(ISBLANK(Prices!Q51),"",Prices!Q51)</f>
        <v/>
      </c>
      <c r="R53" s="1" t="str">
        <f>IF(ISBLANK(Prices!R51),"",Prices!R51)</f>
        <v/>
      </c>
      <c r="S53" s="1" t="str">
        <f>IF(ISBLANK(Prices!S51),"",Prices!S51)</f>
        <v/>
      </c>
      <c r="T53" s="1" t="str">
        <f>IF(ISBLANK(Prices!T51),"",Prices!T51)</f>
        <v/>
      </c>
      <c r="U53" s="1" t="str">
        <f>IF(ISBLANK(Prices!U51),"",Prices!U51)</f>
        <v/>
      </c>
      <c r="V53" s="1" t="str">
        <f>IF(ISBLANK(Prices!V51),"",Prices!V51)</f>
        <v/>
      </c>
      <c r="W53" s="1" t="str">
        <f>IF(ISBLANK(Prices!W51),"",Prices!W51)</f>
        <v/>
      </c>
      <c r="X53" s="1" t="str">
        <f>IF(ISBLANK(Prices!X51),"",Prices!X51)</f>
        <v/>
      </c>
      <c r="Y53" s="1" t="str">
        <f>IF(ISBLANK(Prices!Y51),"",Prices!Y51)</f>
        <v/>
      </c>
      <c r="Z53" s="1" t="str">
        <f>IF(ISBLANK(Prices!Z51),"",Prices!Z51)</f>
        <v/>
      </c>
      <c r="AA53" s="1" t="str">
        <f>IF(ISBLANK(Prices!AA51),"",Prices!AA51)</f>
        <v/>
      </c>
      <c r="AB53" s="1" t="str">
        <f>IF(ISBLANK(Prices!AB51),"",Prices!AB51)</f>
        <v/>
      </c>
      <c r="AC53" s="1" t="str">
        <f>IF(ISBLANK(Prices!AC51),"",Prices!AC51)</f>
        <v/>
      </c>
      <c r="AD53" s="1" t="str">
        <f>IF(ISBLANK(Prices!AD51),"",Prices!AD51)</f>
        <v/>
      </c>
      <c r="AE53" s="1" t="str">
        <f>IF(ISBLANK(Prices!AE51),"",Prices!AE51)</f>
        <v/>
      </c>
      <c r="AF53" s="1" t="str">
        <f>IF(ISBLANK(Prices!AF51),"",Prices!AF51)</f>
        <v/>
      </c>
      <c r="AG53" s="1" t="str">
        <f>IF(ISBLANK(Prices!AG51),"",Prices!AG51)</f>
        <v/>
      </c>
      <c r="AH53" s="1" t="str">
        <f>IF(ISBLANK(Prices!AH51),"",Prices!AH51)</f>
        <v/>
      </c>
      <c r="AI53" s="1" t="str">
        <f>IF(ISBLANK(Prices!AI51),"",Prices!AI51)</f>
        <v/>
      </c>
      <c r="AJ53" s="1" t="str">
        <f>IF(ISBLANK(Prices!AJ51),"",Prices!AJ51)</f>
        <v/>
      </c>
      <c r="AK53" s="1" t="str">
        <f>IF(ISBLANK(Prices!AK51),"",Prices!AK51)</f>
        <v/>
      </c>
      <c r="AL53" s="1" t="str">
        <f>IF(ISBLANK(Prices!AL51),"",Prices!AL51)</f>
        <v/>
      </c>
      <c r="AM53" s="1" t="str">
        <f>IF(ISBLANK(Prices!AM51),"",Prices!AM51)</f>
        <v/>
      </c>
      <c r="AN53" s="1" t="str">
        <f>IF(ISBLANK(Prices!AN51),"",Prices!AN51)</f>
        <v/>
      </c>
      <c r="AO53" s="1" t="str">
        <f>IF(ISBLANK(Prices!AO51),"",Prices!AO51)</f>
        <v/>
      </c>
      <c r="AP53" s="1" t="str">
        <f>IF(ISBLANK(Prices!AP51),"",Prices!AP51)</f>
        <v/>
      </c>
      <c r="AQ53" s="1" t="str">
        <f>IF(ISBLANK(Prices!AQ51),"",Prices!AQ51)</f>
        <v/>
      </c>
      <c r="AR53" s="1" t="str">
        <f>IF(ISBLANK(Prices!AR51),"",Prices!AR51)</f>
        <v/>
      </c>
      <c r="AS53" s="1" t="str">
        <f>IF(ISBLANK(Prices!AS51),"",Prices!AS51)</f>
        <v/>
      </c>
      <c r="AT53" s="1" t="str">
        <f>IF(ISBLANK(Prices!AT51),"",Prices!AT51)</f>
        <v/>
      </c>
      <c r="AU53" s="1" t="str">
        <f>IF(ISBLANK(Prices!AU51),"",Prices!AU51)</f>
        <v/>
      </c>
      <c r="AV53" s="1" t="str">
        <f>IF(ISBLANK(Prices!AV51),"",Prices!AV51)</f>
        <v/>
      </c>
      <c r="AW53" s="1" t="str">
        <f>IF(ISBLANK(Prices!AW51),"",Prices!AW51)</f>
        <v/>
      </c>
      <c r="AX53" s="1" t="str">
        <f>IF(ISBLANK(Prices!AX51),"",Prices!AX51)</f>
        <v/>
      </c>
      <c r="AY53" s="1" t="str">
        <f>IF(ISBLANK(Prices!AY51),"",Prices!AY51)</f>
        <v/>
      </c>
      <c r="AZ53" s="1" t="str">
        <f>IF(ISBLANK(Prices!AZ51),"",Prices!AZ51)</f>
        <v/>
      </c>
      <c r="BA53" s="1" t="str">
        <f>IF(ISBLANK(Prices!BA51),"",Prices!BA51)</f>
        <v/>
      </c>
      <c r="BB53" s="1" t="str">
        <f>IF(ISBLANK(Prices!BB51),"",Prices!BB51)</f>
        <v/>
      </c>
      <c r="BC53" s="1" t="str">
        <f>IF(ISBLANK(Prices!BC51),"",Prices!BC51)</f>
        <v/>
      </c>
      <c r="BD53" s="1" t="str">
        <f>IF(ISBLANK(Prices!BD51),"",Prices!BD51)</f>
        <v/>
      </c>
      <c r="BE53" s="1" t="str">
        <f>IF(ISBLANK(Prices!BE51),"",Prices!BE51)</f>
        <v/>
      </c>
      <c r="BF53" s="1" t="str">
        <f>IF(ISBLANK(Prices!BF51),"",Prices!BF51)</f>
        <v/>
      </c>
      <c r="BG53" s="1" t="str">
        <f>IF(ISBLANK(Prices!BG51),"",Prices!BG51)</f>
        <v/>
      </c>
      <c r="BH53" s="1" t="str">
        <f>IF(ISBLANK(Prices!BH51),"",Prices!BH51)</f>
        <v/>
      </c>
      <c r="BI53" s="1" t="str">
        <f>IF(ISBLANK(Prices!BI51),"",Prices!BI51)</f>
        <v/>
      </c>
      <c r="BJ53" s="1" t="str">
        <f>IF(ISBLANK(Prices!BJ51),"",Prices!BJ51)</f>
        <v/>
      </c>
      <c r="BK53" s="1" t="str">
        <f>IF(ISBLANK(Prices!BK51),"",Prices!BK51)</f>
        <v/>
      </c>
      <c r="BL53" s="1" t="str">
        <f>IF(ISBLANK(Prices!BL51),"",Prices!BL51)</f>
        <v/>
      </c>
      <c r="BM53" s="1" t="str">
        <f>IF(ISBLANK(Prices!BM51),"",Prices!BM51)</f>
        <v/>
      </c>
      <c r="BN53" s="1" t="str">
        <f>IF(ISBLANK(Prices!BN51),"",Prices!BN51)</f>
        <v/>
      </c>
      <c r="BO53" s="1" t="str">
        <f>IF(ISBLANK(Prices!BO51),"",Prices!BO51)</f>
        <v/>
      </c>
      <c r="BP53" s="1" t="str">
        <f>IF(ISBLANK(Prices!BP51),"",Prices!BP51)</f>
        <v/>
      </c>
      <c r="BQ53" s="1" t="str">
        <f>IF(ISBLANK(Prices!BQ51),"",Prices!BQ51)</f>
        <v/>
      </c>
      <c r="BR53" s="1" t="str">
        <f>IF(ISBLANK(Prices!BR51),"",Prices!BR51)</f>
        <v/>
      </c>
      <c r="BS53" s="1" t="str">
        <f>IF(ISBLANK(Prices!BS51),"",Prices!BS51)</f>
        <v/>
      </c>
      <c r="BT53" s="1" t="str">
        <f>IF(ISBLANK(Prices!BT51),"",Prices!BT51)</f>
        <v/>
      </c>
      <c r="BU53" s="1" t="str">
        <f>IF(ISBLANK(Prices!BU51),"",Prices!BU51)</f>
        <v/>
      </c>
      <c r="BV53" s="1" t="str">
        <f>IF(ISBLANK(Prices!BV51),"",Prices!BV51)</f>
        <v/>
      </c>
      <c r="BW53" s="1" t="str">
        <f>IF(ISBLANK(Prices!BW51),"",Prices!BW51)</f>
        <v/>
      </c>
      <c r="BX53" s="1" t="str">
        <f>IF(ISBLANK(Prices!BX51),"",Prices!BX51)</f>
        <v/>
      </c>
      <c r="BY53" s="1" t="str">
        <f>IF(ISBLANK(Prices!BY51),"",Prices!BY51)</f>
        <v/>
      </c>
      <c r="BZ53" s="1" t="str">
        <f>IF(ISBLANK(Prices!BZ51),"",Prices!BZ51)</f>
        <v/>
      </c>
      <c r="CA53" s="1" t="str">
        <f>IF(ISBLANK(Prices!CA51),"",Prices!CA51)</f>
        <v/>
      </c>
      <c r="CB53" s="1" t="str">
        <f>IF(ISBLANK(Prices!CB51),"",Prices!CB51)</f>
        <v/>
      </c>
      <c r="CC53" s="1" t="str">
        <f>IF(ISBLANK(Prices!CC51),"",Prices!CC51)</f>
        <v/>
      </c>
      <c r="CD53" s="1" t="str">
        <f>IF(ISBLANK(Prices!CD51),"",Prices!CD51)</f>
        <v/>
      </c>
      <c r="CE53" s="1" t="str">
        <f>IF(ISBLANK(Prices!CE51),"",Prices!CE51)</f>
        <v/>
      </c>
      <c r="CF53" s="1" t="str">
        <f>IF(ISBLANK(Prices!CF51),"",Prices!CF51)</f>
        <v/>
      </c>
      <c r="CG53" s="1" t="str">
        <f>IF(ISBLANK(Prices!CG51),"",Prices!CG51)</f>
        <v/>
      </c>
      <c r="CH53" s="1" t="str">
        <f>IF(ISBLANK(Prices!CH51),"",Prices!CH51)</f>
        <v/>
      </c>
      <c r="CI53" s="1" t="str">
        <f>IF(ISBLANK(Prices!CI51),"",Prices!CI51)</f>
        <v/>
      </c>
      <c r="CJ53" s="1" t="str">
        <f>IF(ISBLANK(Prices!CJ51),"",Prices!CJ51)</f>
        <v/>
      </c>
      <c r="CK53" s="1" t="str">
        <f>IF(ISBLANK(Prices!CK51),"",Prices!CK51)</f>
        <v/>
      </c>
      <c r="CL53" s="1" t="str">
        <f>IF(ISBLANK(Prices!CL51),"",Prices!CL51)</f>
        <v/>
      </c>
      <c r="CM53" s="1" t="str">
        <f>IF(ISBLANK(Prices!CM51),"",Prices!CM51)</f>
        <v/>
      </c>
      <c r="CN53" s="1" t="str">
        <f>IF(ISBLANK(Prices!CN51),"",Prices!CN51)</f>
        <v/>
      </c>
    </row>
    <row r="54" spans="2:92" x14ac:dyDescent="0.25">
      <c r="B54" s="1" t="str">
        <f>IF(ISBLANK(Prices!A52),"",Prices!A52)</f>
        <v/>
      </c>
      <c r="C54" s="1" t="str">
        <f>IF(ISBLANK(Prices!C52),"",Prices!C52)</f>
        <v/>
      </c>
      <c r="D54" s="1" t="str">
        <f>IF(ISBLANK(Prices!D52),"",Prices!D52)</f>
        <v/>
      </c>
      <c r="E54" s="1" t="str">
        <f>IF(ISBLANK(Prices!E52),"",Prices!E52)</f>
        <v/>
      </c>
      <c r="F54" s="1" t="str">
        <f>IF(ISBLANK(Prices!F52),"",Prices!F52)</f>
        <v/>
      </c>
      <c r="G54" s="1" t="str">
        <f>IF(ISBLANK(Prices!G52),"",Prices!G52)</f>
        <v/>
      </c>
      <c r="H54" s="1" t="str">
        <f>IF(ISBLANK(Prices!H52),"",Prices!H52)</f>
        <v/>
      </c>
      <c r="I54" s="1" t="str">
        <f>IF(ISBLANK(Prices!I52),"",Prices!I52)</f>
        <v/>
      </c>
      <c r="J54" s="1" t="str">
        <f>IF(ISBLANK(Prices!J52),"",Prices!J52)</f>
        <v/>
      </c>
      <c r="K54" s="1" t="str">
        <f>IF(ISBLANK(Prices!K52),"",Prices!K52)</f>
        <v/>
      </c>
      <c r="L54" s="1" t="str">
        <f>IF(ISBLANK(Prices!L52),"",Prices!L52)</f>
        <v/>
      </c>
      <c r="M54" s="1" t="str">
        <f>IF(ISBLANK(Prices!M52),"",Prices!M52)</f>
        <v/>
      </c>
      <c r="N54" s="1" t="str">
        <f>IF(ISBLANK(Prices!N52),"",Prices!N52)</f>
        <v/>
      </c>
      <c r="O54" s="1" t="str">
        <f>IF(ISBLANK(Prices!O52),"",Prices!O52)</f>
        <v/>
      </c>
      <c r="P54" s="1" t="str">
        <f>IF(ISBLANK(Prices!P52),"",Prices!P52)</f>
        <v/>
      </c>
      <c r="Q54" s="1" t="str">
        <f>IF(ISBLANK(Prices!Q52),"",Prices!Q52)</f>
        <v/>
      </c>
      <c r="R54" s="1" t="str">
        <f>IF(ISBLANK(Prices!R52),"",Prices!R52)</f>
        <v/>
      </c>
      <c r="S54" s="1" t="str">
        <f>IF(ISBLANK(Prices!S52),"",Prices!S52)</f>
        <v/>
      </c>
      <c r="T54" s="1" t="str">
        <f>IF(ISBLANK(Prices!T52),"",Prices!T52)</f>
        <v/>
      </c>
      <c r="U54" s="1" t="str">
        <f>IF(ISBLANK(Prices!U52),"",Prices!U52)</f>
        <v/>
      </c>
      <c r="V54" s="1" t="str">
        <f>IF(ISBLANK(Prices!V52),"",Prices!V52)</f>
        <v/>
      </c>
      <c r="W54" s="1" t="str">
        <f>IF(ISBLANK(Prices!W52),"",Prices!W52)</f>
        <v/>
      </c>
      <c r="X54" s="1" t="str">
        <f>IF(ISBLANK(Prices!X52),"",Prices!X52)</f>
        <v/>
      </c>
      <c r="Y54" s="1" t="str">
        <f>IF(ISBLANK(Prices!Y52),"",Prices!Y52)</f>
        <v/>
      </c>
      <c r="Z54" s="1" t="str">
        <f>IF(ISBLANK(Prices!Z52),"",Prices!Z52)</f>
        <v/>
      </c>
      <c r="AA54" s="1" t="str">
        <f>IF(ISBLANK(Prices!AA52),"",Prices!AA52)</f>
        <v/>
      </c>
      <c r="AB54" s="1" t="str">
        <f>IF(ISBLANK(Prices!AB52),"",Prices!AB52)</f>
        <v/>
      </c>
      <c r="AC54" s="1" t="str">
        <f>IF(ISBLANK(Prices!AC52),"",Prices!AC52)</f>
        <v/>
      </c>
      <c r="AD54" s="1" t="str">
        <f>IF(ISBLANK(Prices!AD52),"",Prices!AD52)</f>
        <v/>
      </c>
      <c r="AE54" s="1" t="str">
        <f>IF(ISBLANK(Prices!AE52),"",Prices!AE52)</f>
        <v/>
      </c>
      <c r="AF54" s="1" t="str">
        <f>IF(ISBLANK(Prices!AF52),"",Prices!AF52)</f>
        <v/>
      </c>
      <c r="AG54" s="1" t="str">
        <f>IF(ISBLANK(Prices!AG52),"",Prices!AG52)</f>
        <v/>
      </c>
      <c r="AH54" s="1" t="str">
        <f>IF(ISBLANK(Prices!AH52),"",Prices!AH52)</f>
        <v/>
      </c>
      <c r="AI54" s="1" t="str">
        <f>IF(ISBLANK(Prices!AI52),"",Prices!AI52)</f>
        <v/>
      </c>
      <c r="AJ54" s="1" t="str">
        <f>IF(ISBLANK(Prices!AJ52),"",Prices!AJ52)</f>
        <v/>
      </c>
      <c r="AK54" s="1" t="str">
        <f>IF(ISBLANK(Prices!AK52),"",Prices!AK52)</f>
        <v/>
      </c>
      <c r="AL54" s="1" t="str">
        <f>IF(ISBLANK(Prices!AL52),"",Prices!AL52)</f>
        <v/>
      </c>
      <c r="AM54" s="1" t="str">
        <f>IF(ISBLANK(Prices!AM52),"",Prices!AM52)</f>
        <v/>
      </c>
      <c r="AN54" s="1" t="str">
        <f>IF(ISBLANK(Prices!AN52),"",Prices!AN52)</f>
        <v/>
      </c>
      <c r="AO54" s="1" t="str">
        <f>IF(ISBLANK(Prices!AO52),"",Prices!AO52)</f>
        <v/>
      </c>
      <c r="AP54" s="1" t="str">
        <f>IF(ISBLANK(Prices!AP52),"",Prices!AP52)</f>
        <v/>
      </c>
      <c r="AQ54" s="1" t="str">
        <f>IF(ISBLANK(Prices!AQ52),"",Prices!AQ52)</f>
        <v/>
      </c>
      <c r="AR54" s="1" t="str">
        <f>IF(ISBLANK(Prices!AR52),"",Prices!AR52)</f>
        <v/>
      </c>
      <c r="AS54" s="1" t="str">
        <f>IF(ISBLANK(Prices!AS52),"",Prices!AS52)</f>
        <v/>
      </c>
      <c r="AT54" s="1" t="str">
        <f>IF(ISBLANK(Prices!AT52),"",Prices!AT52)</f>
        <v/>
      </c>
      <c r="AU54" s="1" t="str">
        <f>IF(ISBLANK(Prices!AU52),"",Prices!AU52)</f>
        <v/>
      </c>
      <c r="AV54" s="1" t="str">
        <f>IF(ISBLANK(Prices!AV52),"",Prices!AV52)</f>
        <v/>
      </c>
      <c r="AW54" s="1" t="str">
        <f>IF(ISBLANK(Prices!AW52),"",Prices!AW52)</f>
        <v/>
      </c>
      <c r="AX54" s="1" t="str">
        <f>IF(ISBLANK(Prices!AX52),"",Prices!AX52)</f>
        <v/>
      </c>
      <c r="AY54" s="1" t="str">
        <f>IF(ISBLANK(Prices!AY52),"",Prices!AY52)</f>
        <v/>
      </c>
      <c r="AZ54" s="1" t="str">
        <f>IF(ISBLANK(Prices!AZ52),"",Prices!AZ52)</f>
        <v/>
      </c>
      <c r="BA54" s="1" t="str">
        <f>IF(ISBLANK(Prices!BA52),"",Prices!BA52)</f>
        <v/>
      </c>
      <c r="BB54" s="1" t="str">
        <f>IF(ISBLANK(Prices!BB52),"",Prices!BB52)</f>
        <v/>
      </c>
      <c r="BC54" s="1" t="str">
        <f>IF(ISBLANK(Prices!BC52),"",Prices!BC52)</f>
        <v/>
      </c>
      <c r="BD54" s="1" t="str">
        <f>IF(ISBLANK(Prices!BD52),"",Prices!BD52)</f>
        <v/>
      </c>
      <c r="BE54" s="1" t="str">
        <f>IF(ISBLANK(Prices!BE52),"",Prices!BE52)</f>
        <v/>
      </c>
      <c r="BF54" s="1" t="str">
        <f>IF(ISBLANK(Prices!BF52),"",Prices!BF52)</f>
        <v/>
      </c>
      <c r="BG54" s="1" t="str">
        <f>IF(ISBLANK(Prices!BG52),"",Prices!BG52)</f>
        <v/>
      </c>
      <c r="BH54" s="1" t="str">
        <f>IF(ISBLANK(Prices!BH52),"",Prices!BH52)</f>
        <v/>
      </c>
      <c r="BI54" s="1" t="str">
        <f>IF(ISBLANK(Prices!BI52),"",Prices!BI52)</f>
        <v/>
      </c>
      <c r="BJ54" s="1" t="str">
        <f>IF(ISBLANK(Prices!BJ52),"",Prices!BJ52)</f>
        <v/>
      </c>
      <c r="BK54" s="1" t="str">
        <f>IF(ISBLANK(Prices!BK52),"",Prices!BK52)</f>
        <v/>
      </c>
      <c r="BL54" s="1" t="str">
        <f>IF(ISBLANK(Prices!BL52),"",Prices!BL52)</f>
        <v/>
      </c>
      <c r="BM54" s="1" t="str">
        <f>IF(ISBLANK(Prices!BM52),"",Prices!BM52)</f>
        <v/>
      </c>
      <c r="BN54" s="1" t="str">
        <f>IF(ISBLANK(Prices!BN52),"",Prices!BN52)</f>
        <v/>
      </c>
      <c r="BO54" s="1" t="str">
        <f>IF(ISBLANK(Prices!BO52),"",Prices!BO52)</f>
        <v/>
      </c>
      <c r="BP54" s="1" t="str">
        <f>IF(ISBLANK(Prices!BP52),"",Prices!BP52)</f>
        <v/>
      </c>
      <c r="BQ54" s="1" t="str">
        <f>IF(ISBLANK(Prices!BQ52),"",Prices!BQ52)</f>
        <v/>
      </c>
      <c r="BR54" s="1" t="str">
        <f>IF(ISBLANK(Prices!BR52),"",Prices!BR52)</f>
        <v/>
      </c>
      <c r="BS54" s="1" t="str">
        <f>IF(ISBLANK(Prices!BS52),"",Prices!BS52)</f>
        <v/>
      </c>
      <c r="BT54" s="1" t="str">
        <f>IF(ISBLANK(Prices!BT52),"",Prices!BT52)</f>
        <v/>
      </c>
      <c r="BU54" s="1" t="str">
        <f>IF(ISBLANK(Prices!BU52),"",Prices!BU52)</f>
        <v/>
      </c>
      <c r="BV54" s="1" t="str">
        <f>IF(ISBLANK(Prices!BV52),"",Prices!BV52)</f>
        <v/>
      </c>
      <c r="BW54" s="1" t="str">
        <f>IF(ISBLANK(Prices!BW52),"",Prices!BW52)</f>
        <v/>
      </c>
      <c r="BX54" s="1" t="str">
        <f>IF(ISBLANK(Prices!BX52),"",Prices!BX52)</f>
        <v/>
      </c>
      <c r="BY54" s="1" t="str">
        <f>IF(ISBLANK(Prices!BY52),"",Prices!BY52)</f>
        <v/>
      </c>
      <c r="BZ54" s="1" t="str">
        <f>IF(ISBLANK(Prices!BZ52),"",Prices!BZ52)</f>
        <v/>
      </c>
      <c r="CA54" s="1" t="str">
        <f>IF(ISBLANK(Prices!CA52),"",Prices!CA52)</f>
        <v/>
      </c>
      <c r="CB54" s="1" t="str">
        <f>IF(ISBLANK(Prices!CB52),"",Prices!CB52)</f>
        <v/>
      </c>
      <c r="CC54" s="1" t="str">
        <f>IF(ISBLANK(Prices!CC52),"",Prices!CC52)</f>
        <v/>
      </c>
      <c r="CD54" s="1" t="str">
        <f>IF(ISBLANK(Prices!CD52),"",Prices!CD52)</f>
        <v/>
      </c>
      <c r="CE54" s="1" t="str">
        <f>IF(ISBLANK(Prices!CE52),"",Prices!CE52)</f>
        <v/>
      </c>
      <c r="CF54" s="1" t="str">
        <f>IF(ISBLANK(Prices!CF52),"",Prices!CF52)</f>
        <v/>
      </c>
      <c r="CG54" s="1" t="str">
        <f>IF(ISBLANK(Prices!CG52),"",Prices!CG52)</f>
        <v/>
      </c>
      <c r="CH54" s="1" t="str">
        <f>IF(ISBLANK(Prices!CH52),"",Prices!CH52)</f>
        <v/>
      </c>
      <c r="CI54" s="1" t="str">
        <f>IF(ISBLANK(Prices!CI52),"",Prices!CI52)</f>
        <v/>
      </c>
      <c r="CJ54" s="1" t="str">
        <f>IF(ISBLANK(Prices!CJ52),"",Prices!CJ52)</f>
        <v/>
      </c>
      <c r="CK54" s="1" t="str">
        <f>IF(ISBLANK(Prices!CK52),"",Prices!CK52)</f>
        <v/>
      </c>
      <c r="CL54" s="1" t="str">
        <f>IF(ISBLANK(Prices!CL52),"",Prices!CL52)</f>
        <v/>
      </c>
      <c r="CM54" s="1" t="str">
        <f>IF(ISBLANK(Prices!CM52),"",Prices!CM52)</f>
        <v/>
      </c>
      <c r="CN54" s="1" t="str">
        <f>IF(ISBLANK(Prices!CN52),"",Prices!CN52)</f>
        <v/>
      </c>
    </row>
    <row r="55" spans="2:92" x14ac:dyDescent="0.25">
      <c r="B55" s="1" t="str">
        <f>IF(ISBLANK(Prices!A53),"",Prices!A53)</f>
        <v/>
      </c>
      <c r="C55" s="1" t="str">
        <f>IF(ISBLANK(Prices!C53),"",Prices!C53)</f>
        <v/>
      </c>
      <c r="D55" s="1" t="str">
        <f>IF(ISBLANK(Prices!D53),"",Prices!D53)</f>
        <v/>
      </c>
      <c r="E55" s="1" t="str">
        <f>IF(ISBLANK(Prices!E53),"",Prices!E53)</f>
        <v/>
      </c>
      <c r="F55" s="1" t="str">
        <f>IF(ISBLANK(Prices!F53),"",Prices!F53)</f>
        <v/>
      </c>
      <c r="G55" s="1" t="str">
        <f>IF(ISBLANK(Prices!G53),"",Prices!G53)</f>
        <v/>
      </c>
      <c r="H55" s="1" t="str">
        <f>IF(ISBLANK(Prices!H53),"",Prices!H53)</f>
        <v/>
      </c>
      <c r="I55" s="1" t="str">
        <f>IF(ISBLANK(Prices!I53),"",Prices!I53)</f>
        <v/>
      </c>
      <c r="J55" s="1" t="str">
        <f>IF(ISBLANK(Prices!J53),"",Prices!J53)</f>
        <v/>
      </c>
      <c r="K55" s="1" t="str">
        <f>IF(ISBLANK(Prices!K53),"",Prices!K53)</f>
        <v/>
      </c>
      <c r="L55" s="1" t="str">
        <f>IF(ISBLANK(Prices!L53),"",Prices!L53)</f>
        <v/>
      </c>
      <c r="M55" s="1" t="str">
        <f>IF(ISBLANK(Prices!M53),"",Prices!M53)</f>
        <v/>
      </c>
      <c r="N55" s="1" t="str">
        <f>IF(ISBLANK(Prices!N53),"",Prices!N53)</f>
        <v/>
      </c>
      <c r="O55" s="1" t="str">
        <f>IF(ISBLANK(Prices!O53),"",Prices!O53)</f>
        <v/>
      </c>
      <c r="P55" s="1" t="str">
        <f>IF(ISBLANK(Prices!P53),"",Prices!P53)</f>
        <v/>
      </c>
      <c r="Q55" s="1" t="str">
        <f>IF(ISBLANK(Prices!Q53),"",Prices!Q53)</f>
        <v/>
      </c>
      <c r="R55" s="1" t="str">
        <f>IF(ISBLANK(Prices!R53),"",Prices!R53)</f>
        <v/>
      </c>
      <c r="S55" s="1" t="str">
        <f>IF(ISBLANK(Prices!S53),"",Prices!S53)</f>
        <v/>
      </c>
      <c r="T55" s="1" t="str">
        <f>IF(ISBLANK(Prices!T53),"",Prices!T53)</f>
        <v/>
      </c>
      <c r="U55" s="1" t="str">
        <f>IF(ISBLANK(Prices!U53),"",Prices!U53)</f>
        <v/>
      </c>
      <c r="V55" s="1" t="str">
        <f>IF(ISBLANK(Prices!V53),"",Prices!V53)</f>
        <v/>
      </c>
      <c r="W55" s="1" t="str">
        <f>IF(ISBLANK(Prices!W53),"",Prices!W53)</f>
        <v/>
      </c>
      <c r="X55" s="1" t="str">
        <f>IF(ISBLANK(Prices!X53),"",Prices!X53)</f>
        <v/>
      </c>
      <c r="Y55" s="1" t="str">
        <f>IF(ISBLANK(Prices!Y53),"",Prices!Y53)</f>
        <v/>
      </c>
      <c r="Z55" s="1" t="str">
        <f>IF(ISBLANK(Prices!Z53),"",Prices!Z53)</f>
        <v/>
      </c>
      <c r="AA55" s="1" t="str">
        <f>IF(ISBLANK(Prices!AA53),"",Prices!AA53)</f>
        <v/>
      </c>
      <c r="AB55" s="1" t="str">
        <f>IF(ISBLANK(Prices!AB53),"",Prices!AB53)</f>
        <v/>
      </c>
      <c r="AC55" s="1" t="str">
        <f>IF(ISBLANK(Prices!AC53),"",Prices!AC53)</f>
        <v/>
      </c>
      <c r="AD55" s="1" t="str">
        <f>IF(ISBLANK(Prices!AD53),"",Prices!AD53)</f>
        <v/>
      </c>
      <c r="AE55" s="1" t="str">
        <f>IF(ISBLANK(Prices!AE53),"",Prices!AE53)</f>
        <v/>
      </c>
      <c r="AF55" s="1" t="str">
        <f>IF(ISBLANK(Prices!AF53),"",Prices!AF53)</f>
        <v/>
      </c>
      <c r="AG55" s="1" t="str">
        <f>IF(ISBLANK(Prices!AG53),"",Prices!AG53)</f>
        <v/>
      </c>
      <c r="AH55" s="1" t="str">
        <f>IF(ISBLANK(Prices!AH53),"",Prices!AH53)</f>
        <v/>
      </c>
      <c r="AI55" s="1" t="str">
        <f>IF(ISBLANK(Prices!AI53),"",Prices!AI53)</f>
        <v/>
      </c>
      <c r="AJ55" s="1" t="str">
        <f>IF(ISBLANK(Prices!AJ53),"",Prices!AJ53)</f>
        <v/>
      </c>
      <c r="AK55" s="1" t="str">
        <f>IF(ISBLANK(Prices!AK53),"",Prices!AK53)</f>
        <v/>
      </c>
      <c r="AL55" s="1" t="str">
        <f>IF(ISBLANK(Prices!AL53),"",Prices!AL53)</f>
        <v/>
      </c>
      <c r="AM55" s="1" t="str">
        <f>IF(ISBLANK(Prices!AM53),"",Prices!AM53)</f>
        <v/>
      </c>
      <c r="AN55" s="1" t="str">
        <f>IF(ISBLANK(Prices!AN53),"",Prices!AN53)</f>
        <v/>
      </c>
      <c r="AO55" s="1" t="str">
        <f>IF(ISBLANK(Prices!AO53),"",Prices!AO53)</f>
        <v/>
      </c>
      <c r="AP55" s="1" t="str">
        <f>IF(ISBLANK(Prices!AP53),"",Prices!AP53)</f>
        <v/>
      </c>
      <c r="AQ55" s="1" t="str">
        <f>IF(ISBLANK(Prices!AQ53),"",Prices!AQ53)</f>
        <v/>
      </c>
      <c r="AR55" s="1" t="str">
        <f>IF(ISBLANK(Prices!AR53),"",Prices!AR53)</f>
        <v/>
      </c>
      <c r="AS55" s="1" t="str">
        <f>IF(ISBLANK(Prices!AS53),"",Prices!AS53)</f>
        <v/>
      </c>
      <c r="AT55" s="1" t="str">
        <f>IF(ISBLANK(Prices!AT53),"",Prices!AT53)</f>
        <v/>
      </c>
      <c r="AU55" s="1" t="str">
        <f>IF(ISBLANK(Prices!AU53),"",Prices!AU53)</f>
        <v/>
      </c>
      <c r="AV55" s="1" t="str">
        <f>IF(ISBLANK(Prices!AV53),"",Prices!AV53)</f>
        <v/>
      </c>
      <c r="AW55" s="1" t="str">
        <f>IF(ISBLANK(Prices!AW53),"",Prices!AW53)</f>
        <v/>
      </c>
      <c r="AX55" s="1" t="str">
        <f>IF(ISBLANK(Prices!AX53),"",Prices!AX53)</f>
        <v/>
      </c>
      <c r="AY55" s="1" t="str">
        <f>IF(ISBLANK(Prices!AY53),"",Prices!AY53)</f>
        <v/>
      </c>
      <c r="AZ55" s="1" t="str">
        <f>IF(ISBLANK(Prices!AZ53),"",Prices!AZ53)</f>
        <v/>
      </c>
      <c r="BA55" s="1" t="str">
        <f>IF(ISBLANK(Prices!BA53),"",Prices!BA53)</f>
        <v/>
      </c>
      <c r="BB55" s="1" t="str">
        <f>IF(ISBLANK(Prices!BB53),"",Prices!BB53)</f>
        <v/>
      </c>
      <c r="BC55" s="1" t="str">
        <f>IF(ISBLANK(Prices!BC53),"",Prices!BC53)</f>
        <v/>
      </c>
      <c r="BD55" s="1" t="str">
        <f>IF(ISBLANK(Prices!BD53),"",Prices!BD53)</f>
        <v/>
      </c>
      <c r="BE55" s="1" t="str">
        <f>IF(ISBLANK(Prices!BE53),"",Prices!BE53)</f>
        <v/>
      </c>
      <c r="BF55" s="1" t="str">
        <f>IF(ISBLANK(Prices!BF53),"",Prices!BF53)</f>
        <v/>
      </c>
      <c r="BG55" s="1" t="str">
        <f>IF(ISBLANK(Prices!BG53),"",Prices!BG53)</f>
        <v/>
      </c>
      <c r="BH55" s="1" t="str">
        <f>IF(ISBLANK(Prices!BH53),"",Prices!BH53)</f>
        <v/>
      </c>
      <c r="BI55" s="1" t="str">
        <f>IF(ISBLANK(Prices!BI53),"",Prices!BI53)</f>
        <v/>
      </c>
      <c r="BJ55" s="1" t="str">
        <f>IF(ISBLANK(Prices!BJ53),"",Prices!BJ53)</f>
        <v/>
      </c>
      <c r="BK55" s="1" t="str">
        <f>IF(ISBLANK(Prices!BK53),"",Prices!BK53)</f>
        <v/>
      </c>
      <c r="BL55" s="1" t="str">
        <f>IF(ISBLANK(Prices!BL53),"",Prices!BL53)</f>
        <v/>
      </c>
      <c r="BM55" s="1" t="str">
        <f>IF(ISBLANK(Prices!BM53),"",Prices!BM53)</f>
        <v/>
      </c>
      <c r="BN55" s="1" t="str">
        <f>IF(ISBLANK(Prices!BN53),"",Prices!BN53)</f>
        <v/>
      </c>
      <c r="BO55" s="1" t="str">
        <f>IF(ISBLANK(Prices!BO53),"",Prices!BO53)</f>
        <v/>
      </c>
      <c r="BP55" s="1" t="str">
        <f>IF(ISBLANK(Prices!BP53),"",Prices!BP53)</f>
        <v/>
      </c>
      <c r="BQ55" s="1" t="str">
        <f>IF(ISBLANK(Prices!BQ53),"",Prices!BQ53)</f>
        <v/>
      </c>
      <c r="BR55" s="1" t="str">
        <f>IF(ISBLANK(Prices!BR53),"",Prices!BR53)</f>
        <v/>
      </c>
      <c r="BS55" s="1" t="str">
        <f>IF(ISBLANK(Prices!BS53),"",Prices!BS53)</f>
        <v/>
      </c>
      <c r="BT55" s="1" t="str">
        <f>IF(ISBLANK(Prices!BT53),"",Prices!BT53)</f>
        <v/>
      </c>
      <c r="BU55" s="1" t="str">
        <f>IF(ISBLANK(Prices!BU53),"",Prices!BU53)</f>
        <v/>
      </c>
      <c r="BV55" s="1" t="str">
        <f>IF(ISBLANK(Prices!BV53),"",Prices!BV53)</f>
        <v/>
      </c>
      <c r="BW55" s="1" t="str">
        <f>IF(ISBLANK(Prices!BW53),"",Prices!BW53)</f>
        <v/>
      </c>
      <c r="BX55" s="1" t="str">
        <f>IF(ISBLANK(Prices!BX53),"",Prices!BX53)</f>
        <v/>
      </c>
      <c r="BY55" s="1" t="str">
        <f>IF(ISBLANK(Prices!BY53),"",Prices!BY53)</f>
        <v/>
      </c>
      <c r="BZ55" s="1" t="str">
        <f>IF(ISBLANK(Prices!BZ53),"",Prices!BZ53)</f>
        <v/>
      </c>
      <c r="CA55" s="1" t="str">
        <f>IF(ISBLANK(Prices!CA53),"",Prices!CA53)</f>
        <v/>
      </c>
      <c r="CB55" s="1" t="str">
        <f>IF(ISBLANK(Prices!CB53),"",Prices!CB53)</f>
        <v/>
      </c>
      <c r="CC55" s="1" t="str">
        <f>IF(ISBLANK(Prices!CC53),"",Prices!CC53)</f>
        <v/>
      </c>
      <c r="CD55" s="1" t="str">
        <f>IF(ISBLANK(Prices!CD53),"",Prices!CD53)</f>
        <v/>
      </c>
      <c r="CE55" s="1" t="str">
        <f>IF(ISBLANK(Prices!CE53),"",Prices!CE53)</f>
        <v/>
      </c>
      <c r="CF55" s="1" t="str">
        <f>IF(ISBLANK(Prices!CF53),"",Prices!CF53)</f>
        <v/>
      </c>
      <c r="CG55" s="1" t="str">
        <f>IF(ISBLANK(Prices!CG53),"",Prices!CG53)</f>
        <v/>
      </c>
      <c r="CH55" s="1" t="str">
        <f>IF(ISBLANK(Prices!CH53),"",Prices!CH53)</f>
        <v/>
      </c>
      <c r="CI55" s="1" t="str">
        <f>IF(ISBLANK(Prices!CI53),"",Prices!CI53)</f>
        <v/>
      </c>
      <c r="CJ55" s="1" t="str">
        <f>IF(ISBLANK(Prices!CJ53),"",Prices!CJ53)</f>
        <v/>
      </c>
      <c r="CK55" s="1" t="str">
        <f>IF(ISBLANK(Prices!CK53),"",Prices!CK53)</f>
        <v/>
      </c>
      <c r="CL55" s="1" t="str">
        <f>IF(ISBLANK(Prices!CL53),"",Prices!CL53)</f>
        <v/>
      </c>
      <c r="CM55" s="1" t="str">
        <f>IF(ISBLANK(Prices!CM53),"",Prices!CM53)</f>
        <v/>
      </c>
      <c r="CN55" s="1" t="str">
        <f>IF(ISBLANK(Prices!CN53),"",Prices!CN53)</f>
        <v/>
      </c>
    </row>
    <row r="56" spans="2:92" x14ac:dyDescent="0.25">
      <c r="B56" s="1" t="str">
        <f>IF(ISBLANK(Prices!A54),"",Prices!A54)</f>
        <v/>
      </c>
      <c r="C56" s="1" t="str">
        <f>IF(ISBLANK(Prices!C54),"",Prices!C54)</f>
        <v/>
      </c>
      <c r="D56" s="1" t="str">
        <f>IF(ISBLANK(Prices!D54),"",Prices!D54)</f>
        <v/>
      </c>
      <c r="E56" s="1" t="str">
        <f>IF(ISBLANK(Prices!E54),"",Prices!E54)</f>
        <v/>
      </c>
      <c r="F56" s="1" t="str">
        <f>IF(ISBLANK(Prices!F54),"",Prices!F54)</f>
        <v/>
      </c>
      <c r="G56" s="1" t="str">
        <f>IF(ISBLANK(Prices!G54),"",Prices!G54)</f>
        <v/>
      </c>
      <c r="H56" s="1" t="str">
        <f>IF(ISBLANK(Prices!H54),"",Prices!H54)</f>
        <v/>
      </c>
      <c r="I56" s="1" t="str">
        <f>IF(ISBLANK(Prices!I54),"",Prices!I54)</f>
        <v/>
      </c>
      <c r="J56" s="1" t="str">
        <f>IF(ISBLANK(Prices!J54),"",Prices!J54)</f>
        <v/>
      </c>
      <c r="K56" s="1" t="str">
        <f>IF(ISBLANK(Prices!K54),"",Prices!K54)</f>
        <v/>
      </c>
      <c r="L56" s="1" t="str">
        <f>IF(ISBLANK(Prices!L54),"",Prices!L54)</f>
        <v/>
      </c>
      <c r="M56" s="1" t="str">
        <f>IF(ISBLANK(Prices!M54),"",Prices!M54)</f>
        <v/>
      </c>
      <c r="N56" s="1" t="str">
        <f>IF(ISBLANK(Prices!N54),"",Prices!N54)</f>
        <v/>
      </c>
      <c r="O56" s="1" t="str">
        <f>IF(ISBLANK(Prices!O54),"",Prices!O54)</f>
        <v/>
      </c>
      <c r="P56" s="1" t="str">
        <f>IF(ISBLANK(Prices!P54),"",Prices!P54)</f>
        <v/>
      </c>
      <c r="Q56" s="1" t="str">
        <f>IF(ISBLANK(Prices!Q54),"",Prices!Q54)</f>
        <v/>
      </c>
      <c r="R56" s="1" t="str">
        <f>IF(ISBLANK(Prices!R54),"",Prices!R54)</f>
        <v/>
      </c>
      <c r="S56" s="1" t="str">
        <f>IF(ISBLANK(Prices!S54),"",Prices!S54)</f>
        <v/>
      </c>
      <c r="T56" s="1" t="str">
        <f>IF(ISBLANK(Prices!T54),"",Prices!T54)</f>
        <v/>
      </c>
      <c r="U56" s="1" t="str">
        <f>IF(ISBLANK(Prices!U54),"",Prices!U54)</f>
        <v/>
      </c>
      <c r="V56" s="1" t="str">
        <f>IF(ISBLANK(Prices!V54),"",Prices!V54)</f>
        <v/>
      </c>
      <c r="W56" s="1" t="str">
        <f>IF(ISBLANK(Prices!W54),"",Prices!W54)</f>
        <v/>
      </c>
      <c r="X56" s="1" t="str">
        <f>IF(ISBLANK(Prices!X54),"",Prices!X54)</f>
        <v/>
      </c>
      <c r="Y56" s="1" t="str">
        <f>IF(ISBLANK(Prices!Y54),"",Prices!Y54)</f>
        <v/>
      </c>
      <c r="Z56" s="1" t="str">
        <f>IF(ISBLANK(Prices!Z54),"",Prices!Z54)</f>
        <v/>
      </c>
      <c r="AA56" s="1" t="str">
        <f>IF(ISBLANK(Prices!AA54),"",Prices!AA54)</f>
        <v/>
      </c>
      <c r="AB56" s="1" t="str">
        <f>IF(ISBLANK(Prices!AB54),"",Prices!AB54)</f>
        <v/>
      </c>
      <c r="AC56" s="1" t="str">
        <f>IF(ISBLANK(Prices!AC54),"",Prices!AC54)</f>
        <v/>
      </c>
      <c r="AD56" s="1" t="str">
        <f>IF(ISBLANK(Prices!AD54),"",Prices!AD54)</f>
        <v/>
      </c>
      <c r="AE56" s="1" t="str">
        <f>IF(ISBLANK(Prices!AE54),"",Prices!AE54)</f>
        <v/>
      </c>
      <c r="AF56" s="1" t="str">
        <f>IF(ISBLANK(Prices!AF54),"",Prices!AF54)</f>
        <v/>
      </c>
      <c r="AG56" s="1" t="str">
        <f>IF(ISBLANK(Prices!AG54),"",Prices!AG54)</f>
        <v/>
      </c>
      <c r="AH56" s="1" t="str">
        <f>IF(ISBLANK(Prices!AH54),"",Prices!AH54)</f>
        <v/>
      </c>
      <c r="AI56" s="1" t="str">
        <f>IF(ISBLANK(Prices!AI54),"",Prices!AI54)</f>
        <v/>
      </c>
      <c r="AJ56" s="1" t="str">
        <f>IF(ISBLANK(Prices!AJ54),"",Prices!AJ54)</f>
        <v/>
      </c>
      <c r="AK56" s="1" t="str">
        <f>IF(ISBLANK(Prices!AK54),"",Prices!AK54)</f>
        <v/>
      </c>
      <c r="AL56" s="1" t="str">
        <f>IF(ISBLANK(Prices!AL54),"",Prices!AL54)</f>
        <v/>
      </c>
      <c r="AM56" s="1" t="str">
        <f>IF(ISBLANK(Prices!AM54),"",Prices!AM54)</f>
        <v/>
      </c>
      <c r="AN56" s="1" t="str">
        <f>IF(ISBLANK(Prices!AN54),"",Prices!AN54)</f>
        <v/>
      </c>
      <c r="AO56" s="1" t="str">
        <f>IF(ISBLANK(Prices!AO54),"",Prices!AO54)</f>
        <v/>
      </c>
      <c r="AP56" s="1" t="str">
        <f>IF(ISBLANK(Prices!AP54),"",Prices!AP54)</f>
        <v/>
      </c>
      <c r="AQ56" s="1" t="str">
        <f>IF(ISBLANK(Prices!AQ54),"",Prices!AQ54)</f>
        <v/>
      </c>
      <c r="AR56" s="1" t="str">
        <f>IF(ISBLANK(Prices!AR54),"",Prices!AR54)</f>
        <v/>
      </c>
      <c r="AS56" s="1" t="str">
        <f>IF(ISBLANK(Prices!AS54),"",Prices!AS54)</f>
        <v/>
      </c>
      <c r="AT56" s="1" t="str">
        <f>IF(ISBLANK(Prices!AT54),"",Prices!AT54)</f>
        <v/>
      </c>
      <c r="AU56" s="1" t="str">
        <f>IF(ISBLANK(Prices!AU54),"",Prices!AU54)</f>
        <v/>
      </c>
      <c r="AV56" s="1" t="str">
        <f>IF(ISBLANK(Prices!AV54),"",Prices!AV54)</f>
        <v/>
      </c>
      <c r="AW56" s="1" t="str">
        <f>IF(ISBLANK(Prices!AW54),"",Prices!AW54)</f>
        <v/>
      </c>
      <c r="AX56" s="1" t="str">
        <f>IF(ISBLANK(Prices!AX54),"",Prices!AX54)</f>
        <v/>
      </c>
      <c r="AY56" s="1" t="str">
        <f>IF(ISBLANK(Prices!AY54),"",Prices!AY54)</f>
        <v/>
      </c>
      <c r="AZ56" s="1" t="str">
        <f>IF(ISBLANK(Prices!AZ54),"",Prices!AZ54)</f>
        <v/>
      </c>
      <c r="BA56" s="1" t="str">
        <f>IF(ISBLANK(Prices!BA54),"",Prices!BA54)</f>
        <v/>
      </c>
      <c r="BB56" s="1" t="str">
        <f>IF(ISBLANK(Prices!BB54),"",Prices!BB54)</f>
        <v/>
      </c>
      <c r="BC56" s="1" t="str">
        <f>IF(ISBLANK(Prices!BC54),"",Prices!BC54)</f>
        <v/>
      </c>
      <c r="BD56" s="1" t="str">
        <f>IF(ISBLANK(Prices!BD54),"",Prices!BD54)</f>
        <v/>
      </c>
      <c r="BE56" s="1" t="str">
        <f>IF(ISBLANK(Prices!BE54),"",Prices!BE54)</f>
        <v/>
      </c>
      <c r="BF56" s="1" t="str">
        <f>IF(ISBLANK(Prices!BF54),"",Prices!BF54)</f>
        <v/>
      </c>
      <c r="BG56" s="1" t="str">
        <f>IF(ISBLANK(Prices!BG54),"",Prices!BG54)</f>
        <v/>
      </c>
      <c r="BH56" s="1" t="str">
        <f>IF(ISBLANK(Prices!BH54),"",Prices!BH54)</f>
        <v/>
      </c>
      <c r="BI56" s="1" t="str">
        <f>IF(ISBLANK(Prices!BI54),"",Prices!BI54)</f>
        <v/>
      </c>
      <c r="BJ56" s="1" t="str">
        <f>IF(ISBLANK(Prices!BJ54),"",Prices!BJ54)</f>
        <v/>
      </c>
      <c r="BK56" s="1" t="str">
        <f>IF(ISBLANK(Prices!BK54),"",Prices!BK54)</f>
        <v/>
      </c>
      <c r="BL56" s="1" t="str">
        <f>IF(ISBLANK(Prices!BL54),"",Prices!BL54)</f>
        <v/>
      </c>
      <c r="BM56" s="1" t="str">
        <f>IF(ISBLANK(Prices!BM54),"",Prices!BM54)</f>
        <v/>
      </c>
      <c r="BN56" s="1" t="str">
        <f>IF(ISBLANK(Prices!BN54),"",Prices!BN54)</f>
        <v/>
      </c>
      <c r="BO56" s="1" t="str">
        <f>IF(ISBLANK(Prices!BO54),"",Prices!BO54)</f>
        <v/>
      </c>
      <c r="BP56" s="1" t="str">
        <f>IF(ISBLANK(Prices!BP54),"",Prices!BP54)</f>
        <v/>
      </c>
      <c r="BQ56" s="1" t="str">
        <f>IF(ISBLANK(Prices!BQ54),"",Prices!BQ54)</f>
        <v/>
      </c>
      <c r="BR56" s="1" t="str">
        <f>IF(ISBLANK(Prices!BR54),"",Prices!BR54)</f>
        <v/>
      </c>
      <c r="BS56" s="1" t="str">
        <f>IF(ISBLANK(Prices!BS54),"",Prices!BS54)</f>
        <v/>
      </c>
      <c r="BT56" s="1" t="str">
        <f>IF(ISBLANK(Prices!BT54),"",Prices!BT54)</f>
        <v/>
      </c>
      <c r="BU56" s="1" t="str">
        <f>IF(ISBLANK(Prices!BU54),"",Prices!BU54)</f>
        <v/>
      </c>
      <c r="BV56" s="1" t="str">
        <f>IF(ISBLANK(Prices!BV54),"",Prices!BV54)</f>
        <v/>
      </c>
      <c r="BW56" s="1" t="str">
        <f>IF(ISBLANK(Prices!BW54),"",Prices!BW54)</f>
        <v/>
      </c>
      <c r="BX56" s="1" t="str">
        <f>IF(ISBLANK(Prices!BX54),"",Prices!BX54)</f>
        <v/>
      </c>
      <c r="BY56" s="1" t="str">
        <f>IF(ISBLANK(Prices!BY54),"",Prices!BY54)</f>
        <v/>
      </c>
      <c r="BZ56" s="1" t="str">
        <f>IF(ISBLANK(Prices!BZ54),"",Prices!BZ54)</f>
        <v/>
      </c>
      <c r="CA56" s="1" t="str">
        <f>IF(ISBLANK(Prices!CA54),"",Prices!CA54)</f>
        <v/>
      </c>
      <c r="CB56" s="1" t="str">
        <f>IF(ISBLANK(Prices!CB54),"",Prices!CB54)</f>
        <v/>
      </c>
      <c r="CC56" s="1" t="str">
        <f>IF(ISBLANK(Prices!CC54),"",Prices!CC54)</f>
        <v/>
      </c>
      <c r="CD56" s="1" t="str">
        <f>IF(ISBLANK(Prices!CD54),"",Prices!CD54)</f>
        <v/>
      </c>
      <c r="CE56" s="1" t="str">
        <f>IF(ISBLANK(Prices!CE54),"",Prices!CE54)</f>
        <v/>
      </c>
      <c r="CF56" s="1" t="str">
        <f>IF(ISBLANK(Prices!CF54),"",Prices!CF54)</f>
        <v/>
      </c>
      <c r="CG56" s="1" t="str">
        <f>IF(ISBLANK(Prices!CG54),"",Prices!CG54)</f>
        <v/>
      </c>
      <c r="CH56" s="1" t="str">
        <f>IF(ISBLANK(Prices!CH54),"",Prices!CH54)</f>
        <v/>
      </c>
      <c r="CI56" s="1" t="str">
        <f>IF(ISBLANK(Prices!CI54),"",Prices!CI54)</f>
        <v/>
      </c>
      <c r="CJ56" s="1" t="str">
        <f>IF(ISBLANK(Prices!CJ54),"",Prices!CJ54)</f>
        <v/>
      </c>
      <c r="CK56" s="1" t="str">
        <f>IF(ISBLANK(Prices!CK54),"",Prices!CK54)</f>
        <v/>
      </c>
      <c r="CL56" s="1" t="str">
        <f>IF(ISBLANK(Prices!CL54),"",Prices!CL54)</f>
        <v/>
      </c>
      <c r="CM56" s="1" t="str">
        <f>IF(ISBLANK(Prices!CM54),"",Prices!CM54)</f>
        <v/>
      </c>
      <c r="CN56" s="1" t="str">
        <f>IF(ISBLANK(Prices!CN54),"",Prices!CN54)</f>
        <v/>
      </c>
    </row>
    <row r="57" spans="2:92" x14ac:dyDescent="0.25">
      <c r="B57" s="1" t="str">
        <f>IF(ISBLANK(Prices!A55),"",Prices!A55)</f>
        <v/>
      </c>
      <c r="C57" s="1" t="str">
        <f>IF(ISBLANK(Prices!C55),"",Prices!C55)</f>
        <v/>
      </c>
      <c r="D57" s="1" t="str">
        <f>IF(ISBLANK(Prices!D55),"",Prices!D55)</f>
        <v/>
      </c>
      <c r="E57" s="1" t="str">
        <f>IF(ISBLANK(Prices!E55),"",Prices!E55)</f>
        <v/>
      </c>
      <c r="F57" s="1" t="str">
        <f>IF(ISBLANK(Prices!F55),"",Prices!F55)</f>
        <v/>
      </c>
      <c r="G57" s="1" t="str">
        <f>IF(ISBLANK(Prices!G55),"",Prices!G55)</f>
        <v/>
      </c>
      <c r="H57" s="1" t="str">
        <f>IF(ISBLANK(Prices!H55),"",Prices!H55)</f>
        <v/>
      </c>
      <c r="I57" s="1" t="str">
        <f>IF(ISBLANK(Prices!I55),"",Prices!I55)</f>
        <v/>
      </c>
      <c r="J57" s="1" t="str">
        <f>IF(ISBLANK(Prices!J55),"",Prices!J55)</f>
        <v/>
      </c>
      <c r="K57" s="1" t="str">
        <f>IF(ISBLANK(Prices!K55),"",Prices!K55)</f>
        <v/>
      </c>
      <c r="L57" s="1" t="str">
        <f>IF(ISBLANK(Prices!L55),"",Prices!L55)</f>
        <v/>
      </c>
      <c r="M57" s="1" t="str">
        <f>IF(ISBLANK(Prices!M55),"",Prices!M55)</f>
        <v/>
      </c>
      <c r="N57" s="1" t="str">
        <f>IF(ISBLANK(Prices!N55),"",Prices!N55)</f>
        <v/>
      </c>
      <c r="O57" s="1" t="str">
        <f>IF(ISBLANK(Prices!O55),"",Prices!O55)</f>
        <v/>
      </c>
      <c r="P57" s="1" t="str">
        <f>IF(ISBLANK(Prices!P55),"",Prices!P55)</f>
        <v/>
      </c>
      <c r="Q57" s="1" t="str">
        <f>IF(ISBLANK(Prices!Q55),"",Prices!Q55)</f>
        <v/>
      </c>
      <c r="R57" s="1" t="str">
        <f>IF(ISBLANK(Prices!R55),"",Prices!R55)</f>
        <v/>
      </c>
      <c r="S57" s="1" t="str">
        <f>IF(ISBLANK(Prices!S55),"",Prices!S55)</f>
        <v/>
      </c>
      <c r="T57" s="1" t="str">
        <f>IF(ISBLANK(Prices!T55),"",Prices!T55)</f>
        <v/>
      </c>
      <c r="U57" s="1" t="str">
        <f>IF(ISBLANK(Prices!U55),"",Prices!U55)</f>
        <v/>
      </c>
      <c r="V57" s="1" t="str">
        <f>IF(ISBLANK(Prices!V55),"",Prices!V55)</f>
        <v/>
      </c>
      <c r="W57" s="1" t="str">
        <f>IF(ISBLANK(Prices!W55),"",Prices!W55)</f>
        <v/>
      </c>
      <c r="X57" s="1" t="str">
        <f>IF(ISBLANK(Prices!X55),"",Prices!X55)</f>
        <v/>
      </c>
      <c r="Y57" s="1" t="str">
        <f>IF(ISBLANK(Prices!Y55),"",Prices!Y55)</f>
        <v/>
      </c>
      <c r="Z57" s="1" t="str">
        <f>IF(ISBLANK(Prices!Z55),"",Prices!Z55)</f>
        <v/>
      </c>
      <c r="AA57" s="1" t="str">
        <f>IF(ISBLANK(Prices!AA55),"",Prices!AA55)</f>
        <v/>
      </c>
      <c r="AB57" s="1" t="str">
        <f>IF(ISBLANK(Prices!AB55),"",Prices!AB55)</f>
        <v/>
      </c>
      <c r="AC57" s="1" t="str">
        <f>IF(ISBLANK(Prices!AC55),"",Prices!AC55)</f>
        <v/>
      </c>
      <c r="AD57" s="1" t="str">
        <f>IF(ISBLANK(Prices!AD55),"",Prices!AD55)</f>
        <v/>
      </c>
      <c r="AE57" s="1" t="str">
        <f>IF(ISBLANK(Prices!AE55),"",Prices!AE55)</f>
        <v/>
      </c>
      <c r="AF57" s="1" t="str">
        <f>IF(ISBLANK(Prices!AF55),"",Prices!AF55)</f>
        <v/>
      </c>
      <c r="AG57" s="1" t="str">
        <f>IF(ISBLANK(Prices!AG55),"",Prices!AG55)</f>
        <v/>
      </c>
      <c r="AH57" s="1" t="str">
        <f>IF(ISBLANK(Prices!AH55),"",Prices!AH55)</f>
        <v/>
      </c>
      <c r="AI57" s="1" t="str">
        <f>IF(ISBLANK(Prices!AI55),"",Prices!AI55)</f>
        <v/>
      </c>
      <c r="AJ57" s="1" t="str">
        <f>IF(ISBLANK(Prices!AJ55),"",Prices!AJ55)</f>
        <v/>
      </c>
      <c r="AK57" s="1" t="str">
        <f>IF(ISBLANK(Prices!AK55),"",Prices!AK55)</f>
        <v/>
      </c>
      <c r="AL57" s="1" t="str">
        <f>IF(ISBLANK(Prices!AL55),"",Prices!AL55)</f>
        <v/>
      </c>
      <c r="AM57" s="1" t="str">
        <f>IF(ISBLANK(Prices!AM55),"",Prices!AM55)</f>
        <v/>
      </c>
      <c r="AN57" s="1" t="str">
        <f>IF(ISBLANK(Prices!AN55),"",Prices!AN55)</f>
        <v/>
      </c>
      <c r="AO57" s="1" t="str">
        <f>IF(ISBLANK(Prices!AO55),"",Prices!AO55)</f>
        <v/>
      </c>
      <c r="AP57" s="1" t="str">
        <f>IF(ISBLANK(Prices!AP55),"",Prices!AP55)</f>
        <v/>
      </c>
      <c r="AQ57" s="1" t="str">
        <f>IF(ISBLANK(Prices!AQ55),"",Prices!AQ55)</f>
        <v/>
      </c>
      <c r="AR57" s="1" t="str">
        <f>IF(ISBLANK(Prices!AR55),"",Prices!AR55)</f>
        <v/>
      </c>
      <c r="AS57" s="1" t="str">
        <f>IF(ISBLANK(Prices!AS55),"",Prices!AS55)</f>
        <v/>
      </c>
      <c r="AT57" s="1" t="str">
        <f>IF(ISBLANK(Prices!AT55),"",Prices!AT55)</f>
        <v/>
      </c>
      <c r="AU57" s="1" t="str">
        <f>IF(ISBLANK(Prices!AU55),"",Prices!AU55)</f>
        <v/>
      </c>
      <c r="AV57" s="1" t="str">
        <f>IF(ISBLANK(Prices!AV55),"",Prices!AV55)</f>
        <v/>
      </c>
      <c r="AW57" s="1" t="str">
        <f>IF(ISBLANK(Prices!AW55),"",Prices!AW55)</f>
        <v/>
      </c>
      <c r="AX57" s="1" t="str">
        <f>IF(ISBLANK(Prices!AX55),"",Prices!AX55)</f>
        <v/>
      </c>
      <c r="AY57" s="1" t="str">
        <f>IF(ISBLANK(Prices!AY55),"",Prices!AY55)</f>
        <v/>
      </c>
      <c r="AZ57" s="1" t="str">
        <f>IF(ISBLANK(Prices!AZ55),"",Prices!AZ55)</f>
        <v/>
      </c>
      <c r="BA57" s="1" t="str">
        <f>IF(ISBLANK(Prices!BA55),"",Prices!BA55)</f>
        <v/>
      </c>
      <c r="BB57" s="1" t="str">
        <f>IF(ISBLANK(Prices!BB55),"",Prices!BB55)</f>
        <v/>
      </c>
      <c r="BC57" s="1" t="str">
        <f>IF(ISBLANK(Prices!BC55),"",Prices!BC55)</f>
        <v/>
      </c>
      <c r="BD57" s="1" t="str">
        <f>IF(ISBLANK(Prices!BD55),"",Prices!BD55)</f>
        <v/>
      </c>
      <c r="BE57" s="1" t="str">
        <f>IF(ISBLANK(Prices!BE55),"",Prices!BE55)</f>
        <v/>
      </c>
      <c r="BF57" s="1" t="str">
        <f>IF(ISBLANK(Prices!BF55),"",Prices!BF55)</f>
        <v/>
      </c>
      <c r="BG57" s="1" t="str">
        <f>IF(ISBLANK(Prices!BG55),"",Prices!BG55)</f>
        <v/>
      </c>
      <c r="BH57" s="1" t="str">
        <f>IF(ISBLANK(Prices!BH55),"",Prices!BH55)</f>
        <v/>
      </c>
      <c r="BI57" s="1" t="str">
        <f>IF(ISBLANK(Prices!BI55),"",Prices!BI55)</f>
        <v/>
      </c>
      <c r="BJ57" s="1" t="str">
        <f>IF(ISBLANK(Prices!BJ55),"",Prices!BJ55)</f>
        <v/>
      </c>
      <c r="BK57" s="1" t="str">
        <f>IF(ISBLANK(Prices!BK55),"",Prices!BK55)</f>
        <v/>
      </c>
      <c r="BL57" s="1" t="str">
        <f>IF(ISBLANK(Prices!BL55),"",Prices!BL55)</f>
        <v/>
      </c>
      <c r="BM57" s="1" t="str">
        <f>IF(ISBLANK(Prices!BM55),"",Prices!BM55)</f>
        <v/>
      </c>
      <c r="BN57" s="1" t="str">
        <f>IF(ISBLANK(Prices!BN55),"",Prices!BN55)</f>
        <v/>
      </c>
      <c r="BO57" s="1" t="str">
        <f>IF(ISBLANK(Prices!BO55),"",Prices!BO55)</f>
        <v/>
      </c>
      <c r="BP57" s="1" t="str">
        <f>IF(ISBLANK(Prices!BP55),"",Prices!BP55)</f>
        <v/>
      </c>
      <c r="BQ57" s="1" t="str">
        <f>IF(ISBLANK(Prices!BQ55),"",Prices!BQ55)</f>
        <v/>
      </c>
      <c r="BR57" s="1" t="str">
        <f>IF(ISBLANK(Prices!BR55),"",Prices!BR55)</f>
        <v/>
      </c>
      <c r="BS57" s="1" t="str">
        <f>IF(ISBLANK(Prices!BS55),"",Prices!BS55)</f>
        <v/>
      </c>
      <c r="BT57" s="1" t="str">
        <f>IF(ISBLANK(Prices!BT55),"",Prices!BT55)</f>
        <v/>
      </c>
      <c r="BU57" s="1" t="str">
        <f>IF(ISBLANK(Prices!BU55),"",Prices!BU55)</f>
        <v/>
      </c>
      <c r="BV57" s="1" t="str">
        <f>IF(ISBLANK(Prices!BV55),"",Prices!BV55)</f>
        <v/>
      </c>
      <c r="BW57" s="1" t="str">
        <f>IF(ISBLANK(Prices!BW55),"",Prices!BW55)</f>
        <v/>
      </c>
      <c r="BX57" s="1" t="str">
        <f>IF(ISBLANK(Prices!BX55),"",Prices!BX55)</f>
        <v/>
      </c>
      <c r="BY57" s="1" t="str">
        <f>IF(ISBLANK(Prices!BY55),"",Prices!BY55)</f>
        <v/>
      </c>
      <c r="BZ57" s="1" t="str">
        <f>IF(ISBLANK(Prices!BZ55),"",Prices!BZ55)</f>
        <v/>
      </c>
      <c r="CA57" s="1" t="str">
        <f>IF(ISBLANK(Prices!CA55),"",Prices!CA55)</f>
        <v/>
      </c>
      <c r="CB57" s="1" t="str">
        <f>IF(ISBLANK(Prices!CB55),"",Prices!CB55)</f>
        <v/>
      </c>
      <c r="CC57" s="1" t="str">
        <f>IF(ISBLANK(Prices!CC55),"",Prices!CC55)</f>
        <v/>
      </c>
      <c r="CD57" s="1" t="str">
        <f>IF(ISBLANK(Prices!CD55),"",Prices!CD55)</f>
        <v/>
      </c>
      <c r="CE57" s="1" t="str">
        <f>IF(ISBLANK(Prices!CE55),"",Prices!CE55)</f>
        <v/>
      </c>
      <c r="CF57" s="1" t="str">
        <f>IF(ISBLANK(Prices!CF55),"",Prices!CF55)</f>
        <v/>
      </c>
      <c r="CG57" s="1" t="str">
        <f>IF(ISBLANK(Prices!CG55),"",Prices!CG55)</f>
        <v/>
      </c>
      <c r="CH57" s="1" t="str">
        <f>IF(ISBLANK(Prices!CH55),"",Prices!CH55)</f>
        <v/>
      </c>
      <c r="CI57" s="1" t="str">
        <f>IF(ISBLANK(Prices!CI55),"",Prices!CI55)</f>
        <v/>
      </c>
      <c r="CJ57" s="1" t="str">
        <f>IF(ISBLANK(Prices!CJ55),"",Prices!CJ55)</f>
        <v/>
      </c>
      <c r="CK57" s="1" t="str">
        <f>IF(ISBLANK(Prices!CK55),"",Prices!CK55)</f>
        <v/>
      </c>
      <c r="CL57" s="1" t="str">
        <f>IF(ISBLANK(Prices!CL55),"",Prices!CL55)</f>
        <v/>
      </c>
      <c r="CM57" s="1" t="str">
        <f>IF(ISBLANK(Prices!CM55),"",Prices!CM55)</f>
        <v/>
      </c>
      <c r="CN57" s="1" t="str">
        <f>IF(ISBLANK(Prices!CN55),"",Prices!CN55)</f>
        <v/>
      </c>
    </row>
    <row r="58" spans="2:92" x14ac:dyDescent="0.25">
      <c r="B58" s="1" t="str">
        <f>IF(ISBLANK(Prices!A56),"",Prices!A56)</f>
        <v/>
      </c>
      <c r="C58" s="1" t="str">
        <f>IF(ISBLANK(Prices!C56),"",Prices!C56)</f>
        <v/>
      </c>
      <c r="D58" s="1" t="str">
        <f>IF(ISBLANK(Prices!D56),"",Prices!D56)</f>
        <v/>
      </c>
      <c r="E58" s="1" t="str">
        <f>IF(ISBLANK(Prices!E56),"",Prices!E56)</f>
        <v/>
      </c>
      <c r="F58" s="1" t="str">
        <f>IF(ISBLANK(Prices!F56),"",Prices!F56)</f>
        <v/>
      </c>
      <c r="G58" s="1" t="str">
        <f>IF(ISBLANK(Prices!G56),"",Prices!G56)</f>
        <v/>
      </c>
      <c r="H58" s="1" t="str">
        <f>IF(ISBLANK(Prices!H56),"",Prices!H56)</f>
        <v/>
      </c>
      <c r="I58" s="1" t="str">
        <f>IF(ISBLANK(Prices!I56),"",Prices!I56)</f>
        <v/>
      </c>
      <c r="J58" s="1" t="str">
        <f>IF(ISBLANK(Prices!J56),"",Prices!J56)</f>
        <v/>
      </c>
      <c r="K58" s="1" t="str">
        <f>IF(ISBLANK(Prices!K56),"",Prices!K56)</f>
        <v/>
      </c>
      <c r="L58" s="1" t="str">
        <f>IF(ISBLANK(Prices!L56),"",Prices!L56)</f>
        <v/>
      </c>
      <c r="M58" s="1" t="str">
        <f>IF(ISBLANK(Prices!M56),"",Prices!M56)</f>
        <v/>
      </c>
      <c r="N58" s="1" t="str">
        <f>IF(ISBLANK(Prices!N56),"",Prices!N56)</f>
        <v/>
      </c>
      <c r="O58" s="1" t="str">
        <f>IF(ISBLANK(Prices!O56),"",Prices!O56)</f>
        <v/>
      </c>
      <c r="P58" s="1" t="str">
        <f>IF(ISBLANK(Prices!P56),"",Prices!P56)</f>
        <v/>
      </c>
      <c r="Q58" s="1" t="str">
        <f>IF(ISBLANK(Prices!Q56),"",Prices!Q56)</f>
        <v/>
      </c>
      <c r="R58" s="1" t="str">
        <f>IF(ISBLANK(Prices!R56),"",Prices!R56)</f>
        <v/>
      </c>
      <c r="S58" s="1" t="str">
        <f>IF(ISBLANK(Prices!S56),"",Prices!S56)</f>
        <v/>
      </c>
      <c r="T58" s="1" t="str">
        <f>IF(ISBLANK(Prices!T56),"",Prices!T56)</f>
        <v/>
      </c>
      <c r="U58" s="1" t="str">
        <f>IF(ISBLANK(Prices!U56),"",Prices!U56)</f>
        <v/>
      </c>
      <c r="V58" s="1" t="str">
        <f>IF(ISBLANK(Prices!V56),"",Prices!V56)</f>
        <v/>
      </c>
      <c r="W58" s="1" t="str">
        <f>IF(ISBLANK(Prices!W56),"",Prices!W56)</f>
        <v/>
      </c>
      <c r="X58" s="1" t="str">
        <f>IF(ISBLANK(Prices!X56),"",Prices!X56)</f>
        <v/>
      </c>
      <c r="Y58" s="1" t="str">
        <f>IF(ISBLANK(Prices!Y56),"",Prices!Y56)</f>
        <v/>
      </c>
      <c r="Z58" s="1" t="str">
        <f>IF(ISBLANK(Prices!Z56),"",Prices!Z56)</f>
        <v/>
      </c>
      <c r="AA58" s="1" t="str">
        <f>IF(ISBLANK(Prices!AA56),"",Prices!AA56)</f>
        <v/>
      </c>
      <c r="AB58" s="1" t="str">
        <f>IF(ISBLANK(Prices!AB56),"",Prices!AB56)</f>
        <v/>
      </c>
      <c r="AC58" s="1" t="str">
        <f>IF(ISBLANK(Prices!AC56),"",Prices!AC56)</f>
        <v/>
      </c>
      <c r="AD58" s="1" t="str">
        <f>IF(ISBLANK(Prices!AD56),"",Prices!AD56)</f>
        <v/>
      </c>
      <c r="AE58" s="1" t="str">
        <f>IF(ISBLANK(Prices!AE56),"",Prices!AE56)</f>
        <v/>
      </c>
      <c r="AF58" s="1" t="str">
        <f>IF(ISBLANK(Prices!AF56),"",Prices!AF56)</f>
        <v/>
      </c>
      <c r="AG58" s="1" t="str">
        <f>IF(ISBLANK(Prices!AG56),"",Prices!AG56)</f>
        <v/>
      </c>
      <c r="AH58" s="1" t="str">
        <f>IF(ISBLANK(Prices!AH56),"",Prices!AH56)</f>
        <v/>
      </c>
      <c r="AI58" s="1" t="str">
        <f>IF(ISBLANK(Prices!AI56),"",Prices!AI56)</f>
        <v/>
      </c>
      <c r="AJ58" s="1" t="str">
        <f>IF(ISBLANK(Prices!AJ56),"",Prices!AJ56)</f>
        <v/>
      </c>
      <c r="AK58" s="1" t="str">
        <f>IF(ISBLANK(Prices!AK56),"",Prices!AK56)</f>
        <v/>
      </c>
      <c r="AL58" s="1" t="str">
        <f>IF(ISBLANK(Prices!AL56),"",Prices!AL56)</f>
        <v/>
      </c>
      <c r="AM58" s="1" t="str">
        <f>IF(ISBLANK(Prices!AM56),"",Prices!AM56)</f>
        <v/>
      </c>
      <c r="AN58" s="1" t="str">
        <f>IF(ISBLANK(Prices!AN56),"",Prices!AN56)</f>
        <v/>
      </c>
      <c r="AO58" s="1" t="str">
        <f>IF(ISBLANK(Prices!AO56),"",Prices!AO56)</f>
        <v/>
      </c>
      <c r="AP58" s="1" t="str">
        <f>IF(ISBLANK(Prices!AP56),"",Prices!AP56)</f>
        <v/>
      </c>
      <c r="AQ58" s="1" t="str">
        <f>IF(ISBLANK(Prices!AQ56),"",Prices!AQ56)</f>
        <v/>
      </c>
      <c r="AR58" s="1" t="str">
        <f>IF(ISBLANK(Prices!AR56),"",Prices!AR56)</f>
        <v/>
      </c>
      <c r="AS58" s="1" t="str">
        <f>IF(ISBLANK(Prices!AS56),"",Prices!AS56)</f>
        <v/>
      </c>
      <c r="AT58" s="1" t="str">
        <f>IF(ISBLANK(Prices!AT56),"",Prices!AT56)</f>
        <v/>
      </c>
      <c r="AU58" s="1" t="str">
        <f>IF(ISBLANK(Prices!AU56),"",Prices!AU56)</f>
        <v/>
      </c>
      <c r="AV58" s="1" t="str">
        <f>IF(ISBLANK(Prices!AV56),"",Prices!AV56)</f>
        <v/>
      </c>
      <c r="AW58" s="1" t="str">
        <f>IF(ISBLANK(Prices!AW56),"",Prices!AW56)</f>
        <v/>
      </c>
      <c r="AX58" s="1" t="str">
        <f>IF(ISBLANK(Prices!AX56),"",Prices!AX56)</f>
        <v/>
      </c>
      <c r="AY58" s="1" t="str">
        <f>IF(ISBLANK(Prices!AY56),"",Prices!AY56)</f>
        <v/>
      </c>
      <c r="AZ58" s="1" t="str">
        <f>IF(ISBLANK(Prices!AZ56),"",Prices!AZ56)</f>
        <v/>
      </c>
      <c r="BA58" s="1" t="str">
        <f>IF(ISBLANK(Prices!BA56),"",Prices!BA56)</f>
        <v/>
      </c>
      <c r="BB58" s="1" t="str">
        <f>IF(ISBLANK(Prices!BB56),"",Prices!BB56)</f>
        <v/>
      </c>
      <c r="BC58" s="1" t="str">
        <f>IF(ISBLANK(Prices!BC56),"",Prices!BC56)</f>
        <v/>
      </c>
      <c r="BD58" s="1" t="str">
        <f>IF(ISBLANK(Prices!BD56),"",Prices!BD56)</f>
        <v/>
      </c>
      <c r="BE58" s="1" t="str">
        <f>IF(ISBLANK(Prices!BE56),"",Prices!BE56)</f>
        <v/>
      </c>
      <c r="BF58" s="1" t="str">
        <f>IF(ISBLANK(Prices!BF56),"",Prices!BF56)</f>
        <v/>
      </c>
      <c r="BG58" s="1" t="str">
        <f>IF(ISBLANK(Prices!BG56),"",Prices!BG56)</f>
        <v/>
      </c>
      <c r="BH58" s="1" t="str">
        <f>IF(ISBLANK(Prices!BH56),"",Prices!BH56)</f>
        <v/>
      </c>
      <c r="BI58" s="1" t="str">
        <f>IF(ISBLANK(Prices!BI56),"",Prices!BI56)</f>
        <v/>
      </c>
      <c r="BJ58" s="1" t="str">
        <f>IF(ISBLANK(Prices!BJ56),"",Prices!BJ56)</f>
        <v/>
      </c>
      <c r="BK58" s="1" t="str">
        <f>IF(ISBLANK(Prices!BK56),"",Prices!BK56)</f>
        <v/>
      </c>
      <c r="BL58" s="1" t="str">
        <f>IF(ISBLANK(Prices!BL56),"",Prices!BL56)</f>
        <v/>
      </c>
      <c r="BM58" s="1" t="str">
        <f>IF(ISBLANK(Prices!BM56),"",Prices!BM56)</f>
        <v/>
      </c>
      <c r="BN58" s="1" t="str">
        <f>IF(ISBLANK(Prices!BN56),"",Prices!BN56)</f>
        <v/>
      </c>
      <c r="BO58" s="1" t="str">
        <f>IF(ISBLANK(Prices!BO56),"",Prices!BO56)</f>
        <v/>
      </c>
      <c r="BP58" s="1" t="str">
        <f>IF(ISBLANK(Prices!BP56),"",Prices!BP56)</f>
        <v/>
      </c>
      <c r="BQ58" s="1" t="str">
        <f>IF(ISBLANK(Prices!BQ56),"",Prices!BQ56)</f>
        <v/>
      </c>
      <c r="BR58" s="1" t="str">
        <f>IF(ISBLANK(Prices!BR56),"",Prices!BR56)</f>
        <v/>
      </c>
      <c r="BS58" s="1" t="str">
        <f>IF(ISBLANK(Prices!BS56),"",Prices!BS56)</f>
        <v/>
      </c>
      <c r="BT58" s="1" t="str">
        <f>IF(ISBLANK(Prices!BT56),"",Prices!BT56)</f>
        <v/>
      </c>
      <c r="BU58" s="1" t="str">
        <f>IF(ISBLANK(Prices!BU56),"",Prices!BU56)</f>
        <v/>
      </c>
      <c r="BV58" s="1" t="str">
        <f>IF(ISBLANK(Prices!BV56),"",Prices!BV56)</f>
        <v/>
      </c>
      <c r="BW58" s="1" t="str">
        <f>IF(ISBLANK(Prices!BW56),"",Prices!BW56)</f>
        <v/>
      </c>
      <c r="BX58" s="1" t="str">
        <f>IF(ISBLANK(Prices!BX56),"",Prices!BX56)</f>
        <v/>
      </c>
      <c r="BY58" s="1" t="str">
        <f>IF(ISBLANK(Prices!BY56),"",Prices!BY56)</f>
        <v/>
      </c>
      <c r="BZ58" s="1" t="str">
        <f>IF(ISBLANK(Prices!BZ56),"",Prices!BZ56)</f>
        <v/>
      </c>
      <c r="CA58" s="1" t="str">
        <f>IF(ISBLANK(Prices!CA56),"",Prices!CA56)</f>
        <v/>
      </c>
      <c r="CB58" s="1" t="str">
        <f>IF(ISBLANK(Prices!CB56),"",Prices!CB56)</f>
        <v/>
      </c>
      <c r="CC58" s="1" t="str">
        <f>IF(ISBLANK(Prices!CC56),"",Prices!CC56)</f>
        <v/>
      </c>
      <c r="CD58" s="1" t="str">
        <f>IF(ISBLANK(Prices!CD56),"",Prices!CD56)</f>
        <v/>
      </c>
      <c r="CE58" s="1" t="str">
        <f>IF(ISBLANK(Prices!CE56),"",Prices!CE56)</f>
        <v/>
      </c>
      <c r="CF58" s="1" t="str">
        <f>IF(ISBLANK(Prices!CF56),"",Prices!CF56)</f>
        <v/>
      </c>
      <c r="CG58" s="1" t="str">
        <f>IF(ISBLANK(Prices!CG56),"",Prices!CG56)</f>
        <v/>
      </c>
      <c r="CH58" s="1" t="str">
        <f>IF(ISBLANK(Prices!CH56),"",Prices!CH56)</f>
        <v/>
      </c>
      <c r="CI58" s="1" t="str">
        <f>IF(ISBLANK(Prices!CI56),"",Prices!CI56)</f>
        <v/>
      </c>
      <c r="CJ58" s="1" t="str">
        <f>IF(ISBLANK(Prices!CJ56),"",Prices!CJ56)</f>
        <v/>
      </c>
      <c r="CK58" s="1" t="str">
        <f>IF(ISBLANK(Prices!CK56),"",Prices!CK56)</f>
        <v/>
      </c>
      <c r="CL58" s="1" t="str">
        <f>IF(ISBLANK(Prices!CL56),"",Prices!CL56)</f>
        <v/>
      </c>
      <c r="CM58" s="1" t="str">
        <f>IF(ISBLANK(Prices!CM56),"",Prices!CM56)</f>
        <v/>
      </c>
      <c r="CN58" s="1" t="str">
        <f>IF(ISBLANK(Prices!CN56),"",Prices!CN56)</f>
        <v/>
      </c>
    </row>
    <row r="59" spans="2:92" x14ac:dyDescent="0.25">
      <c r="B59" s="1" t="str">
        <f>IF(ISBLANK(Prices!A57),"",Prices!A57)</f>
        <v/>
      </c>
      <c r="C59" s="1" t="str">
        <f>IF(ISBLANK(Prices!C57),"",Prices!C57)</f>
        <v/>
      </c>
      <c r="D59" s="1" t="str">
        <f>IF(ISBLANK(Prices!D57),"",Prices!D57)</f>
        <v/>
      </c>
      <c r="E59" s="1" t="str">
        <f>IF(ISBLANK(Prices!E57),"",Prices!E57)</f>
        <v/>
      </c>
      <c r="F59" s="1" t="str">
        <f>IF(ISBLANK(Prices!F57),"",Prices!F57)</f>
        <v/>
      </c>
      <c r="G59" s="1" t="str">
        <f>IF(ISBLANK(Prices!G57),"",Prices!G57)</f>
        <v/>
      </c>
      <c r="H59" s="1" t="str">
        <f>IF(ISBLANK(Prices!H57),"",Prices!H57)</f>
        <v/>
      </c>
      <c r="I59" s="1" t="str">
        <f>IF(ISBLANK(Prices!I57),"",Prices!I57)</f>
        <v/>
      </c>
      <c r="J59" s="1" t="str">
        <f>IF(ISBLANK(Prices!J57),"",Prices!J57)</f>
        <v/>
      </c>
      <c r="K59" s="1" t="str">
        <f>IF(ISBLANK(Prices!K57),"",Prices!K57)</f>
        <v/>
      </c>
      <c r="L59" s="1" t="str">
        <f>IF(ISBLANK(Prices!L57),"",Prices!L57)</f>
        <v/>
      </c>
      <c r="M59" s="1" t="str">
        <f>IF(ISBLANK(Prices!M57),"",Prices!M57)</f>
        <v/>
      </c>
      <c r="N59" s="1" t="str">
        <f>IF(ISBLANK(Prices!N57),"",Prices!N57)</f>
        <v/>
      </c>
      <c r="O59" s="1" t="str">
        <f>IF(ISBLANK(Prices!O57),"",Prices!O57)</f>
        <v/>
      </c>
      <c r="P59" s="1" t="str">
        <f>IF(ISBLANK(Prices!P57),"",Prices!P57)</f>
        <v/>
      </c>
      <c r="Q59" s="1" t="str">
        <f>IF(ISBLANK(Prices!Q57),"",Prices!Q57)</f>
        <v/>
      </c>
      <c r="R59" s="1" t="str">
        <f>IF(ISBLANK(Prices!R57),"",Prices!R57)</f>
        <v/>
      </c>
      <c r="S59" s="1" t="str">
        <f>IF(ISBLANK(Prices!S57),"",Prices!S57)</f>
        <v/>
      </c>
      <c r="T59" s="1" t="str">
        <f>IF(ISBLANK(Prices!T57),"",Prices!T57)</f>
        <v/>
      </c>
      <c r="U59" s="1" t="str">
        <f>IF(ISBLANK(Prices!U57),"",Prices!U57)</f>
        <v/>
      </c>
      <c r="V59" s="1" t="str">
        <f>IF(ISBLANK(Prices!V57),"",Prices!V57)</f>
        <v/>
      </c>
      <c r="W59" s="1" t="str">
        <f>IF(ISBLANK(Prices!W57),"",Prices!W57)</f>
        <v/>
      </c>
      <c r="X59" s="1" t="str">
        <f>IF(ISBLANK(Prices!X57),"",Prices!X57)</f>
        <v/>
      </c>
      <c r="Y59" s="1" t="str">
        <f>IF(ISBLANK(Prices!Y57),"",Prices!Y57)</f>
        <v/>
      </c>
      <c r="Z59" s="1" t="str">
        <f>IF(ISBLANK(Prices!Z57),"",Prices!Z57)</f>
        <v/>
      </c>
      <c r="AA59" s="1" t="str">
        <f>IF(ISBLANK(Prices!AA57),"",Prices!AA57)</f>
        <v/>
      </c>
      <c r="AB59" s="1" t="str">
        <f>IF(ISBLANK(Prices!AB57),"",Prices!AB57)</f>
        <v/>
      </c>
      <c r="AC59" s="1" t="str">
        <f>IF(ISBLANK(Prices!AC57),"",Prices!AC57)</f>
        <v/>
      </c>
      <c r="AD59" s="1" t="str">
        <f>IF(ISBLANK(Prices!AD57),"",Prices!AD57)</f>
        <v/>
      </c>
      <c r="AE59" s="1" t="str">
        <f>IF(ISBLANK(Prices!AE57),"",Prices!AE57)</f>
        <v/>
      </c>
      <c r="AF59" s="1" t="str">
        <f>IF(ISBLANK(Prices!AF57),"",Prices!AF57)</f>
        <v/>
      </c>
      <c r="AG59" s="1" t="str">
        <f>IF(ISBLANK(Prices!AG57),"",Prices!AG57)</f>
        <v/>
      </c>
      <c r="AH59" s="1" t="str">
        <f>IF(ISBLANK(Prices!AH57),"",Prices!AH57)</f>
        <v/>
      </c>
      <c r="AI59" s="1" t="str">
        <f>IF(ISBLANK(Prices!AI57),"",Prices!AI57)</f>
        <v/>
      </c>
      <c r="AJ59" s="1" t="str">
        <f>IF(ISBLANK(Prices!AJ57),"",Prices!AJ57)</f>
        <v/>
      </c>
      <c r="AK59" s="1" t="str">
        <f>IF(ISBLANK(Prices!AK57),"",Prices!AK57)</f>
        <v/>
      </c>
      <c r="AL59" s="1" t="str">
        <f>IF(ISBLANK(Prices!AL57),"",Prices!AL57)</f>
        <v/>
      </c>
      <c r="AM59" s="1" t="str">
        <f>IF(ISBLANK(Prices!AM57),"",Prices!AM57)</f>
        <v/>
      </c>
      <c r="AN59" s="1" t="str">
        <f>IF(ISBLANK(Prices!AN57),"",Prices!AN57)</f>
        <v/>
      </c>
      <c r="AO59" s="1" t="str">
        <f>IF(ISBLANK(Prices!AO57),"",Prices!AO57)</f>
        <v/>
      </c>
      <c r="AP59" s="1" t="str">
        <f>IF(ISBLANK(Prices!AP57),"",Prices!AP57)</f>
        <v/>
      </c>
      <c r="AQ59" s="1" t="str">
        <f>IF(ISBLANK(Prices!AQ57),"",Prices!AQ57)</f>
        <v/>
      </c>
      <c r="AR59" s="1" t="str">
        <f>IF(ISBLANK(Prices!AR57),"",Prices!AR57)</f>
        <v/>
      </c>
      <c r="AS59" s="1" t="str">
        <f>IF(ISBLANK(Prices!AS57),"",Prices!AS57)</f>
        <v/>
      </c>
      <c r="AT59" s="1" t="str">
        <f>IF(ISBLANK(Prices!AT57),"",Prices!AT57)</f>
        <v/>
      </c>
      <c r="AU59" s="1" t="str">
        <f>IF(ISBLANK(Prices!AU57),"",Prices!AU57)</f>
        <v/>
      </c>
      <c r="AV59" s="1" t="str">
        <f>IF(ISBLANK(Prices!AV57),"",Prices!AV57)</f>
        <v/>
      </c>
      <c r="AW59" s="1" t="str">
        <f>IF(ISBLANK(Prices!AW57),"",Prices!AW57)</f>
        <v/>
      </c>
      <c r="AX59" s="1" t="str">
        <f>IF(ISBLANK(Prices!AX57),"",Prices!AX57)</f>
        <v/>
      </c>
      <c r="AY59" s="1" t="str">
        <f>IF(ISBLANK(Prices!AY57),"",Prices!AY57)</f>
        <v/>
      </c>
      <c r="AZ59" s="1" t="str">
        <f>IF(ISBLANK(Prices!AZ57),"",Prices!AZ57)</f>
        <v/>
      </c>
      <c r="BA59" s="1" t="str">
        <f>IF(ISBLANK(Prices!BA57),"",Prices!BA57)</f>
        <v/>
      </c>
      <c r="BB59" s="1" t="str">
        <f>IF(ISBLANK(Prices!BB57),"",Prices!BB57)</f>
        <v/>
      </c>
      <c r="BC59" s="1" t="str">
        <f>IF(ISBLANK(Prices!BC57),"",Prices!BC57)</f>
        <v/>
      </c>
      <c r="BD59" s="1" t="str">
        <f>IF(ISBLANK(Prices!BD57),"",Prices!BD57)</f>
        <v/>
      </c>
      <c r="BE59" s="1" t="str">
        <f>IF(ISBLANK(Prices!BE57),"",Prices!BE57)</f>
        <v/>
      </c>
      <c r="BF59" s="1" t="str">
        <f>IF(ISBLANK(Prices!BF57),"",Prices!BF57)</f>
        <v/>
      </c>
      <c r="BG59" s="1" t="str">
        <f>IF(ISBLANK(Prices!BG57),"",Prices!BG57)</f>
        <v/>
      </c>
      <c r="BH59" s="1" t="str">
        <f>IF(ISBLANK(Prices!BH57),"",Prices!BH57)</f>
        <v/>
      </c>
      <c r="BI59" s="1" t="str">
        <f>IF(ISBLANK(Prices!BI57),"",Prices!BI57)</f>
        <v/>
      </c>
      <c r="BJ59" s="1" t="str">
        <f>IF(ISBLANK(Prices!BJ57),"",Prices!BJ57)</f>
        <v/>
      </c>
      <c r="BK59" s="1" t="str">
        <f>IF(ISBLANK(Prices!BK57),"",Prices!BK57)</f>
        <v/>
      </c>
      <c r="BL59" s="1" t="str">
        <f>IF(ISBLANK(Prices!BL57),"",Prices!BL57)</f>
        <v/>
      </c>
      <c r="BM59" s="1" t="str">
        <f>IF(ISBLANK(Prices!BM57),"",Prices!BM57)</f>
        <v/>
      </c>
      <c r="BN59" s="1" t="str">
        <f>IF(ISBLANK(Prices!BN57),"",Prices!BN57)</f>
        <v/>
      </c>
      <c r="BO59" s="1" t="str">
        <f>IF(ISBLANK(Prices!BO57),"",Prices!BO57)</f>
        <v/>
      </c>
      <c r="BP59" s="1" t="str">
        <f>IF(ISBLANK(Prices!BP57),"",Prices!BP57)</f>
        <v/>
      </c>
      <c r="BQ59" s="1" t="str">
        <f>IF(ISBLANK(Prices!BQ57),"",Prices!BQ57)</f>
        <v/>
      </c>
      <c r="BR59" s="1" t="str">
        <f>IF(ISBLANK(Prices!BR57),"",Prices!BR57)</f>
        <v/>
      </c>
      <c r="BS59" s="1" t="str">
        <f>IF(ISBLANK(Prices!BS57),"",Prices!BS57)</f>
        <v/>
      </c>
      <c r="BT59" s="1" t="str">
        <f>IF(ISBLANK(Prices!BT57),"",Prices!BT57)</f>
        <v/>
      </c>
      <c r="BU59" s="1" t="str">
        <f>IF(ISBLANK(Prices!BU57),"",Prices!BU57)</f>
        <v/>
      </c>
      <c r="BV59" s="1" t="str">
        <f>IF(ISBLANK(Prices!BV57),"",Prices!BV57)</f>
        <v/>
      </c>
      <c r="BW59" s="1" t="str">
        <f>IF(ISBLANK(Prices!BW57),"",Prices!BW57)</f>
        <v/>
      </c>
      <c r="BX59" s="1" t="str">
        <f>IF(ISBLANK(Prices!BX57),"",Prices!BX57)</f>
        <v/>
      </c>
      <c r="BY59" s="1" t="str">
        <f>IF(ISBLANK(Prices!BY57),"",Prices!BY57)</f>
        <v/>
      </c>
      <c r="BZ59" s="1" t="str">
        <f>IF(ISBLANK(Prices!BZ57),"",Prices!BZ57)</f>
        <v/>
      </c>
      <c r="CA59" s="1" t="str">
        <f>IF(ISBLANK(Prices!CA57),"",Prices!CA57)</f>
        <v/>
      </c>
      <c r="CB59" s="1" t="str">
        <f>IF(ISBLANK(Prices!CB57),"",Prices!CB57)</f>
        <v/>
      </c>
      <c r="CC59" s="1" t="str">
        <f>IF(ISBLANK(Prices!CC57),"",Prices!CC57)</f>
        <v/>
      </c>
      <c r="CD59" s="1" t="str">
        <f>IF(ISBLANK(Prices!CD57),"",Prices!CD57)</f>
        <v/>
      </c>
      <c r="CE59" s="1" t="str">
        <f>IF(ISBLANK(Prices!CE57),"",Prices!CE57)</f>
        <v/>
      </c>
      <c r="CF59" s="1" t="str">
        <f>IF(ISBLANK(Prices!CF57),"",Prices!CF57)</f>
        <v/>
      </c>
      <c r="CG59" s="1" t="str">
        <f>IF(ISBLANK(Prices!CG57),"",Prices!CG57)</f>
        <v/>
      </c>
      <c r="CH59" s="1" t="str">
        <f>IF(ISBLANK(Prices!CH57),"",Prices!CH57)</f>
        <v/>
      </c>
      <c r="CI59" s="1" t="str">
        <f>IF(ISBLANK(Prices!CI57),"",Prices!CI57)</f>
        <v/>
      </c>
      <c r="CJ59" s="1" t="str">
        <f>IF(ISBLANK(Prices!CJ57),"",Prices!CJ57)</f>
        <v/>
      </c>
      <c r="CK59" s="1" t="str">
        <f>IF(ISBLANK(Prices!CK57),"",Prices!CK57)</f>
        <v/>
      </c>
      <c r="CL59" s="1" t="str">
        <f>IF(ISBLANK(Prices!CL57),"",Prices!CL57)</f>
        <v/>
      </c>
      <c r="CM59" s="1" t="str">
        <f>IF(ISBLANK(Prices!CM57),"",Prices!CM57)</f>
        <v/>
      </c>
      <c r="CN59" s="1" t="str">
        <f>IF(ISBLANK(Prices!CN57),"",Prices!CN57)</f>
        <v/>
      </c>
    </row>
    <row r="60" spans="2:92" x14ac:dyDescent="0.25">
      <c r="B60" s="1" t="str">
        <f>IF(ISBLANK(Prices!A58),"",Prices!A58)</f>
        <v/>
      </c>
      <c r="C60" s="1" t="str">
        <f>IF(ISBLANK(Prices!C58),"",Prices!C58)</f>
        <v/>
      </c>
      <c r="D60" s="1" t="str">
        <f>IF(ISBLANK(Prices!D58),"",Prices!D58)</f>
        <v/>
      </c>
      <c r="E60" s="1" t="str">
        <f>IF(ISBLANK(Prices!E58),"",Prices!E58)</f>
        <v/>
      </c>
      <c r="F60" s="1" t="str">
        <f>IF(ISBLANK(Prices!F58),"",Prices!F58)</f>
        <v/>
      </c>
      <c r="G60" s="1" t="str">
        <f>IF(ISBLANK(Prices!G58),"",Prices!G58)</f>
        <v/>
      </c>
      <c r="H60" s="1" t="str">
        <f>IF(ISBLANK(Prices!H58),"",Prices!H58)</f>
        <v/>
      </c>
      <c r="I60" s="1" t="str">
        <f>IF(ISBLANK(Prices!I58),"",Prices!I58)</f>
        <v/>
      </c>
      <c r="J60" s="1" t="str">
        <f>IF(ISBLANK(Prices!J58),"",Prices!J58)</f>
        <v/>
      </c>
      <c r="K60" s="1" t="str">
        <f>IF(ISBLANK(Prices!K58),"",Prices!K58)</f>
        <v/>
      </c>
      <c r="L60" s="1" t="str">
        <f>IF(ISBLANK(Prices!L58),"",Prices!L58)</f>
        <v/>
      </c>
      <c r="M60" s="1" t="str">
        <f>IF(ISBLANK(Prices!M58),"",Prices!M58)</f>
        <v/>
      </c>
      <c r="N60" s="1" t="str">
        <f>IF(ISBLANK(Prices!N58),"",Prices!N58)</f>
        <v/>
      </c>
      <c r="O60" s="1" t="str">
        <f>IF(ISBLANK(Prices!O58),"",Prices!O58)</f>
        <v/>
      </c>
      <c r="P60" s="1" t="str">
        <f>IF(ISBLANK(Prices!P58),"",Prices!P58)</f>
        <v/>
      </c>
      <c r="Q60" s="1" t="str">
        <f>IF(ISBLANK(Prices!Q58),"",Prices!Q58)</f>
        <v/>
      </c>
      <c r="R60" s="1" t="str">
        <f>IF(ISBLANK(Prices!R58),"",Prices!R58)</f>
        <v/>
      </c>
      <c r="S60" s="1" t="str">
        <f>IF(ISBLANK(Prices!S58),"",Prices!S58)</f>
        <v/>
      </c>
      <c r="T60" s="1" t="str">
        <f>IF(ISBLANK(Prices!T58),"",Prices!T58)</f>
        <v/>
      </c>
      <c r="U60" s="1" t="str">
        <f>IF(ISBLANK(Prices!U58),"",Prices!U58)</f>
        <v/>
      </c>
      <c r="V60" s="1" t="str">
        <f>IF(ISBLANK(Prices!V58),"",Prices!V58)</f>
        <v/>
      </c>
      <c r="W60" s="1" t="str">
        <f>IF(ISBLANK(Prices!W58),"",Prices!W58)</f>
        <v/>
      </c>
      <c r="X60" s="1" t="str">
        <f>IF(ISBLANK(Prices!X58),"",Prices!X58)</f>
        <v/>
      </c>
      <c r="Y60" s="1" t="str">
        <f>IF(ISBLANK(Prices!Y58),"",Prices!Y58)</f>
        <v/>
      </c>
      <c r="Z60" s="1" t="str">
        <f>IF(ISBLANK(Prices!Z58),"",Prices!Z58)</f>
        <v/>
      </c>
      <c r="AA60" s="1" t="str">
        <f>IF(ISBLANK(Prices!AA58),"",Prices!AA58)</f>
        <v/>
      </c>
      <c r="AB60" s="1" t="str">
        <f>IF(ISBLANK(Prices!AB58),"",Prices!AB58)</f>
        <v/>
      </c>
      <c r="AC60" s="1" t="str">
        <f>IF(ISBLANK(Prices!AC58),"",Prices!AC58)</f>
        <v/>
      </c>
      <c r="AD60" s="1" t="str">
        <f>IF(ISBLANK(Prices!AD58),"",Prices!AD58)</f>
        <v/>
      </c>
      <c r="AE60" s="1" t="str">
        <f>IF(ISBLANK(Prices!AE58),"",Prices!AE58)</f>
        <v/>
      </c>
      <c r="AF60" s="1" t="str">
        <f>IF(ISBLANK(Prices!AF58),"",Prices!AF58)</f>
        <v/>
      </c>
      <c r="AG60" s="1" t="str">
        <f>IF(ISBLANK(Prices!AG58),"",Prices!AG58)</f>
        <v/>
      </c>
      <c r="AH60" s="1" t="str">
        <f>IF(ISBLANK(Prices!AH58),"",Prices!AH58)</f>
        <v/>
      </c>
      <c r="AI60" s="1" t="str">
        <f>IF(ISBLANK(Prices!AI58),"",Prices!AI58)</f>
        <v/>
      </c>
      <c r="AJ60" s="1" t="str">
        <f>IF(ISBLANK(Prices!AJ58),"",Prices!AJ58)</f>
        <v/>
      </c>
      <c r="AK60" s="1" t="str">
        <f>IF(ISBLANK(Prices!AK58),"",Prices!AK58)</f>
        <v/>
      </c>
      <c r="AL60" s="1" t="str">
        <f>IF(ISBLANK(Prices!AL58),"",Prices!AL58)</f>
        <v/>
      </c>
      <c r="AM60" s="1" t="str">
        <f>IF(ISBLANK(Prices!AM58),"",Prices!AM58)</f>
        <v/>
      </c>
      <c r="AN60" s="1" t="str">
        <f>IF(ISBLANK(Prices!AN58),"",Prices!AN58)</f>
        <v/>
      </c>
      <c r="AO60" s="1" t="str">
        <f>IF(ISBLANK(Prices!AO58),"",Prices!AO58)</f>
        <v/>
      </c>
      <c r="AP60" s="1" t="str">
        <f>IF(ISBLANK(Prices!AP58),"",Prices!AP58)</f>
        <v/>
      </c>
      <c r="AQ60" s="1" t="str">
        <f>IF(ISBLANK(Prices!AQ58),"",Prices!AQ58)</f>
        <v/>
      </c>
      <c r="AR60" s="1" t="str">
        <f>IF(ISBLANK(Prices!AR58),"",Prices!AR58)</f>
        <v/>
      </c>
      <c r="AS60" s="1" t="str">
        <f>IF(ISBLANK(Prices!AS58),"",Prices!AS58)</f>
        <v/>
      </c>
      <c r="AT60" s="1" t="str">
        <f>IF(ISBLANK(Prices!AT58),"",Prices!AT58)</f>
        <v/>
      </c>
      <c r="AU60" s="1" t="str">
        <f>IF(ISBLANK(Prices!AU58),"",Prices!AU58)</f>
        <v/>
      </c>
      <c r="AV60" s="1" t="str">
        <f>IF(ISBLANK(Prices!AV58),"",Prices!AV58)</f>
        <v/>
      </c>
      <c r="AW60" s="1" t="str">
        <f>IF(ISBLANK(Prices!AW58),"",Prices!AW58)</f>
        <v/>
      </c>
      <c r="AX60" s="1" t="str">
        <f>IF(ISBLANK(Prices!AX58),"",Prices!AX58)</f>
        <v/>
      </c>
      <c r="AY60" s="1" t="str">
        <f>IF(ISBLANK(Prices!AY58),"",Prices!AY58)</f>
        <v/>
      </c>
      <c r="AZ60" s="1" t="str">
        <f>IF(ISBLANK(Prices!AZ58),"",Prices!AZ58)</f>
        <v/>
      </c>
      <c r="BA60" s="1" t="str">
        <f>IF(ISBLANK(Prices!BA58),"",Prices!BA58)</f>
        <v/>
      </c>
      <c r="BB60" s="1" t="str">
        <f>IF(ISBLANK(Prices!BB58),"",Prices!BB58)</f>
        <v/>
      </c>
      <c r="BC60" s="1" t="str">
        <f>IF(ISBLANK(Prices!BC58),"",Prices!BC58)</f>
        <v/>
      </c>
      <c r="BD60" s="1" t="str">
        <f>IF(ISBLANK(Prices!BD58),"",Prices!BD58)</f>
        <v/>
      </c>
      <c r="BE60" s="1" t="str">
        <f>IF(ISBLANK(Prices!BE58),"",Prices!BE58)</f>
        <v/>
      </c>
      <c r="BF60" s="1" t="str">
        <f>IF(ISBLANK(Prices!BF58),"",Prices!BF58)</f>
        <v/>
      </c>
      <c r="BG60" s="1" t="str">
        <f>IF(ISBLANK(Prices!BG58),"",Prices!BG58)</f>
        <v/>
      </c>
      <c r="BH60" s="1" t="str">
        <f>IF(ISBLANK(Prices!BH58),"",Prices!BH58)</f>
        <v/>
      </c>
      <c r="BI60" s="1" t="str">
        <f>IF(ISBLANK(Prices!BI58),"",Prices!BI58)</f>
        <v/>
      </c>
      <c r="BJ60" s="1" t="str">
        <f>IF(ISBLANK(Prices!BJ58),"",Prices!BJ58)</f>
        <v/>
      </c>
      <c r="BK60" s="1" t="str">
        <f>IF(ISBLANK(Prices!BK58),"",Prices!BK58)</f>
        <v/>
      </c>
      <c r="BL60" s="1" t="str">
        <f>IF(ISBLANK(Prices!BL58),"",Prices!BL58)</f>
        <v/>
      </c>
      <c r="BM60" s="1" t="str">
        <f>IF(ISBLANK(Prices!BM58),"",Prices!BM58)</f>
        <v/>
      </c>
      <c r="BN60" s="1" t="str">
        <f>IF(ISBLANK(Prices!BN58),"",Prices!BN58)</f>
        <v/>
      </c>
      <c r="BO60" s="1" t="str">
        <f>IF(ISBLANK(Prices!BO58),"",Prices!BO58)</f>
        <v/>
      </c>
      <c r="BP60" s="1" t="str">
        <f>IF(ISBLANK(Prices!BP58),"",Prices!BP58)</f>
        <v/>
      </c>
      <c r="BQ60" s="1" t="str">
        <f>IF(ISBLANK(Prices!BQ58),"",Prices!BQ58)</f>
        <v/>
      </c>
      <c r="BR60" s="1" t="str">
        <f>IF(ISBLANK(Prices!BR58),"",Prices!BR58)</f>
        <v/>
      </c>
      <c r="BS60" s="1" t="str">
        <f>IF(ISBLANK(Prices!BS58),"",Prices!BS58)</f>
        <v/>
      </c>
      <c r="BT60" s="1" t="str">
        <f>IF(ISBLANK(Prices!BT58),"",Prices!BT58)</f>
        <v/>
      </c>
      <c r="BU60" s="1" t="str">
        <f>IF(ISBLANK(Prices!BU58),"",Prices!BU58)</f>
        <v/>
      </c>
      <c r="BV60" s="1" t="str">
        <f>IF(ISBLANK(Prices!BV58),"",Prices!BV58)</f>
        <v/>
      </c>
      <c r="BW60" s="1" t="str">
        <f>IF(ISBLANK(Prices!BW58),"",Prices!BW58)</f>
        <v/>
      </c>
      <c r="BX60" s="1" t="str">
        <f>IF(ISBLANK(Prices!BX58),"",Prices!BX58)</f>
        <v/>
      </c>
      <c r="BY60" s="1" t="str">
        <f>IF(ISBLANK(Prices!BY58),"",Prices!BY58)</f>
        <v/>
      </c>
      <c r="BZ60" s="1" t="str">
        <f>IF(ISBLANK(Prices!BZ58),"",Prices!BZ58)</f>
        <v/>
      </c>
      <c r="CA60" s="1" t="str">
        <f>IF(ISBLANK(Prices!CA58),"",Prices!CA58)</f>
        <v/>
      </c>
      <c r="CB60" s="1" t="str">
        <f>IF(ISBLANK(Prices!CB58),"",Prices!CB58)</f>
        <v/>
      </c>
      <c r="CC60" s="1" t="str">
        <f>IF(ISBLANK(Prices!CC58),"",Prices!CC58)</f>
        <v/>
      </c>
      <c r="CD60" s="1" t="str">
        <f>IF(ISBLANK(Prices!CD58),"",Prices!CD58)</f>
        <v/>
      </c>
      <c r="CE60" s="1" t="str">
        <f>IF(ISBLANK(Prices!CE58),"",Prices!CE58)</f>
        <v/>
      </c>
      <c r="CF60" s="1" t="str">
        <f>IF(ISBLANK(Prices!CF58),"",Prices!CF58)</f>
        <v/>
      </c>
      <c r="CG60" s="1" t="str">
        <f>IF(ISBLANK(Prices!CG58),"",Prices!CG58)</f>
        <v/>
      </c>
      <c r="CH60" s="1" t="str">
        <f>IF(ISBLANK(Prices!CH58),"",Prices!CH58)</f>
        <v/>
      </c>
      <c r="CI60" s="1" t="str">
        <f>IF(ISBLANK(Prices!CI58),"",Prices!CI58)</f>
        <v/>
      </c>
      <c r="CJ60" s="1" t="str">
        <f>IF(ISBLANK(Prices!CJ58),"",Prices!CJ58)</f>
        <v/>
      </c>
      <c r="CK60" s="1" t="str">
        <f>IF(ISBLANK(Prices!CK58),"",Prices!CK58)</f>
        <v/>
      </c>
      <c r="CL60" s="1" t="str">
        <f>IF(ISBLANK(Prices!CL58),"",Prices!CL58)</f>
        <v/>
      </c>
      <c r="CM60" s="1" t="str">
        <f>IF(ISBLANK(Prices!CM58),"",Prices!CM58)</f>
        <v/>
      </c>
      <c r="CN60" s="1" t="str">
        <f>IF(ISBLANK(Prices!CN58),"",Prices!CN58)</f>
        <v/>
      </c>
    </row>
    <row r="61" spans="2:92" x14ac:dyDescent="0.25">
      <c r="B61" s="1" t="str">
        <f>IF(ISBLANK(Prices!A59),"",Prices!A59)</f>
        <v/>
      </c>
      <c r="C61" s="1" t="str">
        <f>IF(ISBLANK(Prices!C59),"",Prices!C59)</f>
        <v/>
      </c>
      <c r="D61" s="1" t="str">
        <f>IF(ISBLANK(Prices!D59),"",Prices!D59)</f>
        <v/>
      </c>
      <c r="E61" s="1" t="str">
        <f>IF(ISBLANK(Prices!E59),"",Prices!E59)</f>
        <v/>
      </c>
      <c r="F61" s="1" t="str">
        <f>IF(ISBLANK(Prices!F59),"",Prices!F59)</f>
        <v/>
      </c>
      <c r="G61" s="1" t="str">
        <f>IF(ISBLANK(Prices!G59),"",Prices!G59)</f>
        <v/>
      </c>
      <c r="H61" s="1" t="str">
        <f>IF(ISBLANK(Prices!H59),"",Prices!H59)</f>
        <v/>
      </c>
      <c r="I61" s="1" t="str">
        <f>IF(ISBLANK(Prices!I59),"",Prices!I59)</f>
        <v/>
      </c>
      <c r="J61" s="1" t="str">
        <f>IF(ISBLANK(Prices!J59),"",Prices!J59)</f>
        <v/>
      </c>
      <c r="K61" s="1" t="str">
        <f>IF(ISBLANK(Prices!K59),"",Prices!K59)</f>
        <v/>
      </c>
      <c r="L61" s="1" t="str">
        <f>IF(ISBLANK(Prices!L59),"",Prices!L59)</f>
        <v/>
      </c>
      <c r="M61" s="1" t="str">
        <f>IF(ISBLANK(Prices!M59),"",Prices!M59)</f>
        <v/>
      </c>
      <c r="N61" s="1" t="str">
        <f>IF(ISBLANK(Prices!N59),"",Prices!N59)</f>
        <v/>
      </c>
      <c r="O61" s="1" t="str">
        <f>IF(ISBLANK(Prices!O59),"",Prices!O59)</f>
        <v/>
      </c>
      <c r="P61" s="1" t="str">
        <f>IF(ISBLANK(Prices!P59),"",Prices!P59)</f>
        <v/>
      </c>
      <c r="Q61" s="1" t="str">
        <f>IF(ISBLANK(Prices!Q59),"",Prices!Q59)</f>
        <v/>
      </c>
      <c r="R61" s="1" t="str">
        <f>IF(ISBLANK(Prices!R59),"",Prices!R59)</f>
        <v/>
      </c>
      <c r="S61" s="1" t="str">
        <f>IF(ISBLANK(Prices!S59),"",Prices!S59)</f>
        <v/>
      </c>
      <c r="T61" s="1" t="str">
        <f>IF(ISBLANK(Prices!T59),"",Prices!T59)</f>
        <v/>
      </c>
      <c r="U61" s="1" t="str">
        <f>IF(ISBLANK(Prices!U59),"",Prices!U59)</f>
        <v/>
      </c>
      <c r="V61" s="1" t="str">
        <f>IF(ISBLANK(Prices!V59),"",Prices!V59)</f>
        <v/>
      </c>
      <c r="W61" s="1" t="str">
        <f>IF(ISBLANK(Prices!W59),"",Prices!W59)</f>
        <v/>
      </c>
      <c r="X61" s="1" t="str">
        <f>IF(ISBLANK(Prices!X59),"",Prices!X59)</f>
        <v/>
      </c>
      <c r="Y61" s="1" t="str">
        <f>IF(ISBLANK(Prices!Y59),"",Prices!Y59)</f>
        <v/>
      </c>
      <c r="Z61" s="1" t="str">
        <f>IF(ISBLANK(Prices!Z59),"",Prices!Z59)</f>
        <v/>
      </c>
      <c r="AA61" s="1" t="str">
        <f>IF(ISBLANK(Prices!AA59),"",Prices!AA59)</f>
        <v/>
      </c>
      <c r="AB61" s="1" t="str">
        <f>IF(ISBLANK(Prices!AB59),"",Prices!AB59)</f>
        <v/>
      </c>
      <c r="AC61" s="1" t="str">
        <f>IF(ISBLANK(Prices!AC59),"",Prices!AC59)</f>
        <v/>
      </c>
      <c r="AD61" s="1" t="str">
        <f>IF(ISBLANK(Prices!AD59),"",Prices!AD59)</f>
        <v/>
      </c>
      <c r="AE61" s="1" t="str">
        <f>IF(ISBLANK(Prices!AE59),"",Prices!AE59)</f>
        <v/>
      </c>
      <c r="AF61" s="1" t="str">
        <f>IF(ISBLANK(Prices!AF59),"",Prices!AF59)</f>
        <v/>
      </c>
      <c r="AG61" s="1" t="str">
        <f>IF(ISBLANK(Prices!AG59),"",Prices!AG59)</f>
        <v/>
      </c>
      <c r="AH61" s="1" t="str">
        <f>IF(ISBLANK(Prices!AH59),"",Prices!AH59)</f>
        <v/>
      </c>
      <c r="AI61" s="1" t="str">
        <f>IF(ISBLANK(Prices!AI59),"",Prices!AI59)</f>
        <v/>
      </c>
      <c r="AJ61" s="1" t="str">
        <f>IF(ISBLANK(Prices!AJ59),"",Prices!AJ59)</f>
        <v/>
      </c>
      <c r="AK61" s="1" t="str">
        <f>IF(ISBLANK(Prices!AK59),"",Prices!AK59)</f>
        <v/>
      </c>
      <c r="AL61" s="1" t="str">
        <f>IF(ISBLANK(Prices!AL59),"",Prices!AL59)</f>
        <v/>
      </c>
      <c r="AM61" s="1" t="str">
        <f>IF(ISBLANK(Prices!AM59),"",Prices!AM59)</f>
        <v/>
      </c>
      <c r="AN61" s="1" t="str">
        <f>IF(ISBLANK(Prices!AN59),"",Prices!AN59)</f>
        <v/>
      </c>
      <c r="AO61" s="1" t="str">
        <f>IF(ISBLANK(Prices!AO59),"",Prices!AO59)</f>
        <v/>
      </c>
      <c r="AP61" s="1" t="str">
        <f>IF(ISBLANK(Prices!AP59),"",Prices!AP59)</f>
        <v/>
      </c>
      <c r="AQ61" s="1" t="str">
        <f>IF(ISBLANK(Prices!AQ59),"",Prices!AQ59)</f>
        <v/>
      </c>
      <c r="AR61" s="1" t="str">
        <f>IF(ISBLANK(Prices!AR59),"",Prices!AR59)</f>
        <v/>
      </c>
      <c r="AS61" s="1" t="str">
        <f>IF(ISBLANK(Prices!AS59),"",Prices!AS59)</f>
        <v/>
      </c>
      <c r="AT61" s="1" t="str">
        <f>IF(ISBLANK(Prices!AT59),"",Prices!AT59)</f>
        <v/>
      </c>
      <c r="AU61" s="1" t="str">
        <f>IF(ISBLANK(Prices!AU59),"",Prices!AU59)</f>
        <v/>
      </c>
      <c r="AV61" s="1" t="str">
        <f>IF(ISBLANK(Prices!AV59),"",Prices!AV59)</f>
        <v/>
      </c>
      <c r="AW61" s="1" t="str">
        <f>IF(ISBLANK(Prices!AW59),"",Prices!AW59)</f>
        <v/>
      </c>
      <c r="AX61" s="1" t="str">
        <f>IF(ISBLANK(Prices!AX59),"",Prices!AX59)</f>
        <v/>
      </c>
      <c r="AY61" s="1" t="str">
        <f>IF(ISBLANK(Prices!AY59),"",Prices!AY59)</f>
        <v/>
      </c>
      <c r="AZ61" s="1" t="str">
        <f>IF(ISBLANK(Prices!AZ59),"",Prices!AZ59)</f>
        <v/>
      </c>
      <c r="BA61" s="1" t="str">
        <f>IF(ISBLANK(Prices!BA59),"",Prices!BA59)</f>
        <v/>
      </c>
      <c r="BB61" s="1" t="str">
        <f>IF(ISBLANK(Prices!BB59),"",Prices!BB59)</f>
        <v/>
      </c>
      <c r="BC61" s="1" t="str">
        <f>IF(ISBLANK(Prices!BC59),"",Prices!BC59)</f>
        <v/>
      </c>
      <c r="BD61" s="1" t="str">
        <f>IF(ISBLANK(Prices!BD59),"",Prices!BD59)</f>
        <v/>
      </c>
      <c r="BE61" s="1" t="str">
        <f>IF(ISBLANK(Prices!BE59),"",Prices!BE59)</f>
        <v/>
      </c>
      <c r="BF61" s="1" t="str">
        <f>IF(ISBLANK(Prices!BF59),"",Prices!BF59)</f>
        <v/>
      </c>
      <c r="BG61" s="1" t="str">
        <f>IF(ISBLANK(Prices!BG59),"",Prices!BG59)</f>
        <v/>
      </c>
      <c r="BH61" s="1" t="str">
        <f>IF(ISBLANK(Prices!BH59),"",Prices!BH59)</f>
        <v/>
      </c>
      <c r="BI61" s="1" t="str">
        <f>IF(ISBLANK(Prices!BI59),"",Prices!BI59)</f>
        <v/>
      </c>
      <c r="BJ61" s="1" t="str">
        <f>IF(ISBLANK(Prices!BJ59),"",Prices!BJ59)</f>
        <v/>
      </c>
      <c r="BK61" s="1" t="str">
        <f>IF(ISBLANK(Prices!BK59),"",Prices!BK59)</f>
        <v/>
      </c>
      <c r="BL61" s="1" t="str">
        <f>IF(ISBLANK(Prices!BL59),"",Prices!BL59)</f>
        <v/>
      </c>
      <c r="BM61" s="1" t="str">
        <f>IF(ISBLANK(Prices!BM59),"",Prices!BM59)</f>
        <v/>
      </c>
      <c r="BN61" s="1" t="str">
        <f>IF(ISBLANK(Prices!BN59),"",Prices!BN59)</f>
        <v/>
      </c>
      <c r="BO61" s="1" t="str">
        <f>IF(ISBLANK(Prices!BO59),"",Prices!BO59)</f>
        <v/>
      </c>
      <c r="BP61" s="1" t="str">
        <f>IF(ISBLANK(Prices!BP59),"",Prices!BP59)</f>
        <v/>
      </c>
      <c r="BQ61" s="1" t="str">
        <f>IF(ISBLANK(Prices!BQ59),"",Prices!BQ59)</f>
        <v/>
      </c>
      <c r="BR61" s="1" t="str">
        <f>IF(ISBLANK(Prices!BR59),"",Prices!BR59)</f>
        <v/>
      </c>
      <c r="BS61" s="1" t="str">
        <f>IF(ISBLANK(Prices!BS59),"",Prices!BS59)</f>
        <v/>
      </c>
      <c r="BT61" s="1" t="str">
        <f>IF(ISBLANK(Prices!BT59),"",Prices!BT59)</f>
        <v/>
      </c>
      <c r="BU61" s="1" t="str">
        <f>IF(ISBLANK(Prices!BU59),"",Prices!BU59)</f>
        <v/>
      </c>
      <c r="BV61" s="1" t="str">
        <f>IF(ISBLANK(Prices!BV59),"",Prices!BV59)</f>
        <v/>
      </c>
      <c r="BW61" s="1" t="str">
        <f>IF(ISBLANK(Prices!BW59),"",Prices!BW59)</f>
        <v/>
      </c>
      <c r="BX61" s="1" t="str">
        <f>IF(ISBLANK(Prices!BX59),"",Prices!BX59)</f>
        <v/>
      </c>
      <c r="BY61" s="1" t="str">
        <f>IF(ISBLANK(Prices!BY59),"",Prices!BY59)</f>
        <v/>
      </c>
      <c r="BZ61" s="1" t="str">
        <f>IF(ISBLANK(Prices!BZ59),"",Prices!BZ59)</f>
        <v/>
      </c>
      <c r="CA61" s="1" t="str">
        <f>IF(ISBLANK(Prices!CA59),"",Prices!CA59)</f>
        <v/>
      </c>
      <c r="CB61" s="1" t="str">
        <f>IF(ISBLANK(Prices!CB59),"",Prices!CB59)</f>
        <v/>
      </c>
      <c r="CC61" s="1" t="str">
        <f>IF(ISBLANK(Prices!CC59),"",Prices!CC59)</f>
        <v/>
      </c>
      <c r="CD61" s="1" t="str">
        <f>IF(ISBLANK(Prices!CD59),"",Prices!CD59)</f>
        <v/>
      </c>
      <c r="CE61" s="1" t="str">
        <f>IF(ISBLANK(Prices!CE59),"",Prices!CE59)</f>
        <v/>
      </c>
      <c r="CF61" s="1" t="str">
        <f>IF(ISBLANK(Prices!CF59),"",Prices!CF59)</f>
        <v/>
      </c>
      <c r="CG61" s="1" t="str">
        <f>IF(ISBLANK(Prices!CG59),"",Prices!CG59)</f>
        <v/>
      </c>
      <c r="CH61" s="1" t="str">
        <f>IF(ISBLANK(Prices!CH59),"",Prices!CH59)</f>
        <v/>
      </c>
      <c r="CI61" s="1" t="str">
        <f>IF(ISBLANK(Prices!CI59),"",Prices!CI59)</f>
        <v/>
      </c>
      <c r="CJ61" s="1" t="str">
        <f>IF(ISBLANK(Prices!CJ59),"",Prices!CJ59)</f>
        <v/>
      </c>
      <c r="CK61" s="1" t="str">
        <f>IF(ISBLANK(Prices!CK59),"",Prices!CK59)</f>
        <v/>
      </c>
      <c r="CL61" s="1" t="str">
        <f>IF(ISBLANK(Prices!CL59),"",Prices!CL59)</f>
        <v/>
      </c>
      <c r="CM61" s="1" t="str">
        <f>IF(ISBLANK(Prices!CM59),"",Prices!CM59)</f>
        <v/>
      </c>
      <c r="CN61" s="1" t="str">
        <f>IF(ISBLANK(Prices!CN59),"",Prices!CN59)</f>
        <v/>
      </c>
    </row>
    <row r="62" spans="2:92" x14ac:dyDescent="0.25">
      <c r="B62" s="1" t="str">
        <f>IF(ISBLANK(Prices!A60),"",Prices!A60)</f>
        <v/>
      </c>
      <c r="C62" s="1" t="str">
        <f>IF(ISBLANK(Prices!C60),"",Prices!C60)</f>
        <v/>
      </c>
      <c r="D62" s="1" t="str">
        <f>IF(ISBLANK(Prices!D60),"",Prices!D60)</f>
        <v/>
      </c>
      <c r="E62" s="1" t="str">
        <f>IF(ISBLANK(Prices!E60),"",Prices!E60)</f>
        <v/>
      </c>
      <c r="F62" s="1" t="str">
        <f>IF(ISBLANK(Prices!F60),"",Prices!F60)</f>
        <v/>
      </c>
      <c r="G62" s="1" t="str">
        <f>IF(ISBLANK(Prices!G60),"",Prices!G60)</f>
        <v/>
      </c>
      <c r="H62" s="1" t="str">
        <f>IF(ISBLANK(Prices!H60),"",Prices!H60)</f>
        <v/>
      </c>
      <c r="I62" s="1" t="str">
        <f>IF(ISBLANK(Prices!I60),"",Prices!I60)</f>
        <v/>
      </c>
      <c r="J62" s="1" t="str">
        <f>IF(ISBLANK(Prices!J60),"",Prices!J60)</f>
        <v/>
      </c>
      <c r="K62" s="1" t="str">
        <f>IF(ISBLANK(Prices!K60),"",Prices!K60)</f>
        <v/>
      </c>
      <c r="L62" s="1" t="str">
        <f>IF(ISBLANK(Prices!L60),"",Prices!L60)</f>
        <v/>
      </c>
      <c r="M62" s="1" t="str">
        <f>IF(ISBLANK(Prices!M60),"",Prices!M60)</f>
        <v/>
      </c>
      <c r="N62" s="1" t="str">
        <f>IF(ISBLANK(Prices!N60),"",Prices!N60)</f>
        <v/>
      </c>
      <c r="O62" s="1" t="str">
        <f>IF(ISBLANK(Prices!O60),"",Prices!O60)</f>
        <v/>
      </c>
      <c r="P62" s="1" t="str">
        <f>IF(ISBLANK(Prices!P60),"",Prices!P60)</f>
        <v/>
      </c>
      <c r="Q62" s="1" t="str">
        <f>IF(ISBLANK(Prices!Q60),"",Prices!Q60)</f>
        <v/>
      </c>
      <c r="R62" s="1" t="str">
        <f>IF(ISBLANK(Prices!R60),"",Prices!R60)</f>
        <v/>
      </c>
      <c r="S62" s="1" t="str">
        <f>IF(ISBLANK(Prices!S60),"",Prices!S60)</f>
        <v/>
      </c>
      <c r="T62" s="1" t="str">
        <f>IF(ISBLANK(Prices!T60),"",Prices!T60)</f>
        <v/>
      </c>
      <c r="U62" s="1" t="str">
        <f>IF(ISBLANK(Prices!U60),"",Prices!U60)</f>
        <v/>
      </c>
      <c r="V62" s="1" t="str">
        <f>IF(ISBLANK(Prices!V60),"",Prices!V60)</f>
        <v/>
      </c>
      <c r="W62" s="1" t="str">
        <f>IF(ISBLANK(Prices!W60),"",Prices!W60)</f>
        <v/>
      </c>
      <c r="X62" s="1" t="str">
        <f>IF(ISBLANK(Prices!X60),"",Prices!X60)</f>
        <v/>
      </c>
      <c r="Y62" s="1" t="str">
        <f>IF(ISBLANK(Prices!Y60),"",Prices!Y60)</f>
        <v/>
      </c>
      <c r="Z62" s="1" t="str">
        <f>IF(ISBLANK(Prices!Z60),"",Prices!Z60)</f>
        <v/>
      </c>
      <c r="AA62" s="1" t="str">
        <f>IF(ISBLANK(Prices!AA60),"",Prices!AA60)</f>
        <v/>
      </c>
      <c r="AB62" s="1" t="str">
        <f>IF(ISBLANK(Prices!AB60),"",Prices!AB60)</f>
        <v/>
      </c>
      <c r="AC62" s="1" t="str">
        <f>IF(ISBLANK(Prices!AC60),"",Prices!AC60)</f>
        <v/>
      </c>
      <c r="AD62" s="1" t="str">
        <f>IF(ISBLANK(Prices!AD60),"",Prices!AD60)</f>
        <v/>
      </c>
      <c r="AE62" s="1" t="str">
        <f>IF(ISBLANK(Prices!AE60),"",Prices!AE60)</f>
        <v/>
      </c>
      <c r="AF62" s="1" t="str">
        <f>IF(ISBLANK(Prices!AF60),"",Prices!AF60)</f>
        <v/>
      </c>
      <c r="AG62" s="1" t="str">
        <f>IF(ISBLANK(Prices!AG60),"",Prices!AG60)</f>
        <v/>
      </c>
      <c r="AH62" s="1" t="str">
        <f>IF(ISBLANK(Prices!AH60),"",Prices!AH60)</f>
        <v/>
      </c>
      <c r="AI62" s="1" t="str">
        <f>IF(ISBLANK(Prices!AI60),"",Prices!AI60)</f>
        <v/>
      </c>
      <c r="AJ62" s="1" t="str">
        <f>IF(ISBLANK(Prices!AJ60),"",Prices!AJ60)</f>
        <v/>
      </c>
      <c r="AK62" s="1" t="str">
        <f>IF(ISBLANK(Prices!AK60),"",Prices!AK60)</f>
        <v/>
      </c>
      <c r="AL62" s="1" t="str">
        <f>IF(ISBLANK(Prices!AL60),"",Prices!AL60)</f>
        <v/>
      </c>
      <c r="AM62" s="1" t="str">
        <f>IF(ISBLANK(Prices!AM60),"",Prices!AM60)</f>
        <v/>
      </c>
      <c r="AN62" s="1" t="str">
        <f>IF(ISBLANK(Prices!AN60),"",Prices!AN60)</f>
        <v/>
      </c>
      <c r="AO62" s="1" t="str">
        <f>IF(ISBLANK(Prices!AO60),"",Prices!AO60)</f>
        <v/>
      </c>
      <c r="AP62" s="1" t="str">
        <f>IF(ISBLANK(Prices!AP60),"",Prices!AP60)</f>
        <v/>
      </c>
      <c r="AQ62" s="1" t="str">
        <f>IF(ISBLANK(Prices!AQ60),"",Prices!AQ60)</f>
        <v/>
      </c>
      <c r="AR62" s="1" t="str">
        <f>IF(ISBLANK(Prices!AR60),"",Prices!AR60)</f>
        <v/>
      </c>
      <c r="AS62" s="1" t="str">
        <f>IF(ISBLANK(Prices!AS60),"",Prices!AS60)</f>
        <v/>
      </c>
      <c r="AT62" s="1" t="str">
        <f>IF(ISBLANK(Prices!AT60),"",Prices!AT60)</f>
        <v/>
      </c>
      <c r="AU62" s="1" t="str">
        <f>IF(ISBLANK(Prices!AU60),"",Prices!AU60)</f>
        <v/>
      </c>
      <c r="AV62" s="1" t="str">
        <f>IF(ISBLANK(Prices!AV60),"",Prices!AV60)</f>
        <v/>
      </c>
      <c r="AW62" s="1" t="str">
        <f>IF(ISBLANK(Prices!AW60),"",Prices!AW60)</f>
        <v/>
      </c>
      <c r="AX62" s="1" t="str">
        <f>IF(ISBLANK(Prices!AX60),"",Prices!AX60)</f>
        <v/>
      </c>
      <c r="AY62" s="1" t="str">
        <f>IF(ISBLANK(Prices!AY60),"",Prices!AY60)</f>
        <v/>
      </c>
      <c r="AZ62" s="1" t="str">
        <f>IF(ISBLANK(Prices!AZ60),"",Prices!AZ60)</f>
        <v/>
      </c>
      <c r="BA62" s="1" t="str">
        <f>IF(ISBLANK(Prices!BA60),"",Prices!BA60)</f>
        <v/>
      </c>
      <c r="BB62" s="1" t="str">
        <f>IF(ISBLANK(Prices!BB60),"",Prices!BB60)</f>
        <v/>
      </c>
      <c r="BC62" s="1" t="str">
        <f>IF(ISBLANK(Prices!BC60),"",Prices!BC60)</f>
        <v/>
      </c>
      <c r="BD62" s="1" t="str">
        <f>IF(ISBLANK(Prices!BD60),"",Prices!BD60)</f>
        <v/>
      </c>
      <c r="BE62" s="1" t="str">
        <f>IF(ISBLANK(Prices!BE60),"",Prices!BE60)</f>
        <v/>
      </c>
      <c r="BF62" s="1" t="str">
        <f>IF(ISBLANK(Prices!BF60),"",Prices!BF60)</f>
        <v/>
      </c>
      <c r="BG62" s="1" t="str">
        <f>IF(ISBLANK(Prices!BG60),"",Prices!BG60)</f>
        <v/>
      </c>
      <c r="BH62" s="1" t="str">
        <f>IF(ISBLANK(Prices!BH60),"",Prices!BH60)</f>
        <v/>
      </c>
      <c r="BI62" s="1" t="str">
        <f>IF(ISBLANK(Prices!BI60),"",Prices!BI60)</f>
        <v/>
      </c>
      <c r="BJ62" s="1" t="str">
        <f>IF(ISBLANK(Prices!BJ60),"",Prices!BJ60)</f>
        <v/>
      </c>
      <c r="BK62" s="1" t="str">
        <f>IF(ISBLANK(Prices!BK60),"",Prices!BK60)</f>
        <v/>
      </c>
      <c r="BL62" s="1" t="str">
        <f>IF(ISBLANK(Prices!BL60),"",Prices!BL60)</f>
        <v/>
      </c>
      <c r="BM62" s="1" t="str">
        <f>IF(ISBLANK(Prices!BM60),"",Prices!BM60)</f>
        <v/>
      </c>
      <c r="BN62" s="1" t="str">
        <f>IF(ISBLANK(Prices!BN60),"",Prices!BN60)</f>
        <v/>
      </c>
      <c r="BO62" s="1" t="str">
        <f>IF(ISBLANK(Prices!BO60),"",Prices!BO60)</f>
        <v/>
      </c>
      <c r="BP62" s="1" t="str">
        <f>IF(ISBLANK(Prices!BP60),"",Prices!BP60)</f>
        <v/>
      </c>
      <c r="BQ62" s="1" t="str">
        <f>IF(ISBLANK(Prices!BQ60),"",Prices!BQ60)</f>
        <v/>
      </c>
      <c r="BR62" s="1" t="str">
        <f>IF(ISBLANK(Prices!BR60),"",Prices!BR60)</f>
        <v/>
      </c>
      <c r="BS62" s="1" t="str">
        <f>IF(ISBLANK(Prices!BS60),"",Prices!BS60)</f>
        <v/>
      </c>
      <c r="BT62" s="1" t="str">
        <f>IF(ISBLANK(Prices!BT60),"",Prices!BT60)</f>
        <v/>
      </c>
      <c r="BU62" s="1" t="str">
        <f>IF(ISBLANK(Prices!BU60),"",Prices!BU60)</f>
        <v/>
      </c>
      <c r="BV62" s="1" t="str">
        <f>IF(ISBLANK(Prices!BV60),"",Prices!BV60)</f>
        <v/>
      </c>
      <c r="BW62" s="1" t="str">
        <f>IF(ISBLANK(Prices!BW60),"",Prices!BW60)</f>
        <v/>
      </c>
      <c r="BX62" s="1" t="str">
        <f>IF(ISBLANK(Prices!BX60),"",Prices!BX60)</f>
        <v/>
      </c>
      <c r="BY62" s="1" t="str">
        <f>IF(ISBLANK(Prices!BY60),"",Prices!BY60)</f>
        <v/>
      </c>
      <c r="BZ62" s="1" t="str">
        <f>IF(ISBLANK(Prices!BZ60),"",Prices!BZ60)</f>
        <v/>
      </c>
      <c r="CA62" s="1" t="str">
        <f>IF(ISBLANK(Prices!CA60),"",Prices!CA60)</f>
        <v/>
      </c>
      <c r="CB62" s="1" t="str">
        <f>IF(ISBLANK(Prices!CB60),"",Prices!CB60)</f>
        <v/>
      </c>
      <c r="CC62" s="1" t="str">
        <f>IF(ISBLANK(Prices!CC60),"",Prices!CC60)</f>
        <v/>
      </c>
      <c r="CD62" s="1" t="str">
        <f>IF(ISBLANK(Prices!CD60),"",Prices!CD60)</f>
        <v/>
      </c>
      <c r="CE62" s="1" t="str">
        <f>IF(ISBLANK(Prices!CE60),"",Prices!CE60)</f>
        <v/>
      </c>
      <c r="CF62" s="1" t="str">
        <f>IF(ISBLANK(Prices!CF60),"",Prices!CF60)</f>
        <v/>
      </c>
      <c r="CG62" s="1" t="str">
        <f>IF(ISBLANK(Prices!CG60),"",Prices!CG60)</f>
        <v/>
      </c>
      <c r="CH62" s="1" t="str">
        <f>IF(ISBLANK(Prices!CH60),"",Prices!CH60)</f>
        <v/>
      </c>
      <c r="CI62" s="1" t="str">
        <f>IF(ISBLANK(Prices!CI60),"",Prices!CI60)</f>
        <v/>
      </c>
      <c r="CJ62" s="1" t="str">
        <f>IF(ISBLANK(Prices!CJ60),"",Prices!CJ60)</f>
        <v/>
      </c>
      <c r="CK62" s="1" t="str">
        <f>IF(ISBLANK(Prices!CK60),"",Prices!CK60)</f>
        <v/>
      </c>
      <c r="CL62" s="1" t="str">
        <f>IF(ISBLANK(Prices!CL60),"",Prices!CL60)</f>
        <v/>
      </c>
      <c r="CM62" s="1" t="str">
        <f>IF(ISBLANK(Prices!CM60),"",Prices!CM60)</f>
        <v/>
      </c>
      <c r="CN62" s="1" t="str">
        <f>IF(ISBLANK(Prices!CN60),"",Prices!CN60)</f>
        <v/>
      </c>
    </row>
    <row r="63" spans="2:92" x14ac:dyDescent="0.25">
      <c r="B63" s="1" t="str">
        <f>IF(ISBLANK(Prices!A61),"",Prices!A61)</f>
        <v/>
      </c>
      <c r="C63" s="1" t="str">
        <f>IF(ISBLANK(Prices!C61),"",Prices!C61)</f>
        <v/>
      </c>
      <c r="D63" s="1" t="str">
        <f>IF(ISBLANK(Prices!D61),"",Prices!D61)</f>
        <v/>
      </c>
      <c r="E63" s="1" t="str">
        <f>IF(ISBLANK(Prices!E61),"",Prices!E61)</f>
        <v/>
      </c>
      <c r="F63" s="1" t="str">
        <f>IF(ISBLANK(Prices!F61),"",Prices!F61)</f>
        <v/>
      </c>
      <c r="G63" s="1" t="str">
        <f>IF(ISBLANK(Prices!G61),"",Prices!G61)</f>
        <v/>
      </c>
      <c r="H63" s="1" t="str">
        <f>IF(ISBLANK(Prices!H61),"",Prices!H61)</f>
        <v/>
      </c>
      <c r="I63" s="1" t="str">
        <f>IF(ISBLANK(Prices!I61),"",Prices!I61)</f>
        <v/>
      </c>
      <c r="J63" s="1" t="str">
        <f>IF(ISBLANK(Prices!J61),"",Prices!J61)</f>
        <v/>
      </c>
      <c r="K63" s="1" t="str">
        <f>IF(ISBLANK(Prices!K61),"",Prices!K61)</f>
        <v/>
      </c>
      <c r="L63" s="1" t="str">
        <f>IF(ISBLANK(Prices!L61),"",Prices!L61)</f>
        <v/>
      </c>
      <c r="M63" s="1" t="str">
        <f>IF(ISBLANK(Prices!M61),"",Prices!M61)</f>
        <v/>
      </c>
      <c r="N63" s="1" t="str">
        <f>IF(ISBLANK(Prices!N61),"",Prices!N61)</f>
        <v/>
      </c>
      <c r="O63" s="1" t="str">
        <f>IF(ISBLANK(Prices!O61),"",Prices!O61)</f>
        <v/>
      </c>
      <c r="P63" s="1" t="str">
        <f>IF(ISBLANK(Prices!P61),"",Prices!P61)</f>
        <v/>
      </c>
      <c r="Q63" s="1" t="str">
        <f>IF(ISBLANK(Prices!Q61),"",Prices!Q61)</f>
        <v/>
      </c>
      <c r="R63" s="1" t="str">
        <f>IF(ISBLANK(Prices!R61),"",Prices!R61)</f>
        <v/>
      </c>
      <c r="S63" s="1" t="str">
        <f>IF(ISBLANK(Prices!S61),"",Prices!S61)</f>
        <v/>
      </c>
      <c r="T63" s="1" t="str">
        <f>IF(ISBLANK(Prices!T61),"",Prices!T61)</f>
        <v/>
      </c>
      <c r="U63" s="1" t="str">
        <f>IF(ISBLANK(Prices!U61),"",Prices!U61)</f>
        <v/>
      </c>
      <c r="V63" s="1" t="str">
        <f>IF(ISBLANK(Prices!V61),"",Prices!V61)</f>
        <v/>
      </c>
      <c r="W63" s="1" t="str">
        <f>IF(ISBLANK(Prices!W61),"",Prices!W61)</f>
        <v/>
      </c>
      <c r="X63" s="1" t="str">
        <f>IF(ISBLANK(Prices!X61),"",Prices!X61)</f>
        <v/>
      </c>
      <c r="Y63" s="1" t="str">
        <f>IF(ISBLANK(Prices!Y61),"",Prices!Y61)</f>
        <v/>
      </c>
      <c r="Z63" s="1" t="str">
        <f>IF(ISBLANK(Prices!Z61),"",Prices!Z61)</f>
        <v/>
      </c>
      <c r="AA63" s="1" t="str">
        <f>IF(ISBLANK(Prices!AA61),"",Prices!AA61)</f>
        <v/>
      </c>
      <c r="AB63" s="1" t="str">
        <f>IF(ISBLANK(Prices!AB61),"",Prices!AB61)</f>
        <v/>
      </c>
      <c r="AC63" s="1" t="str">
        <f>IF(ISBLANK(Prices!AC61),"",Prices!AC61)</f>
        <v/>
      </c>
      <c r="AD63" s="1" t="str">
        <f>IF(ISBLANK(Prices!AD61),"",Prices!AD61)</f>
        <v/>
      </c>
      <c r="AE63" s="1" t="str">
        <f>IF(ISBLANK(Prices!AE61),"",Prices!AE61)</f>
        <v/>
      </c>
      <c r="AF63" s="1" t="str">
        <f>IF(ISBLANK(Prices!AF61),"",Prices!AF61)</f>
        <v/>
      </c>
      <c r="AG63" s="1" t="str">
        <f>IF(ISBLANK(Prices!AG61),"",Prices!AG61)</f>
        <v/>
      </c>
      <c r="AH63" s="1" t="str">
        <f>IF(ISBLANK(Prices!AH61),"",Prices!AH61)</f>
        <v/>
      </c>
      <c r="AI63" s="1" t="str">
        <f>IF(ISBLANK(Prices!AI61),"",Prices!AI61)</f>
        <v/>
      </c>
      <c r="AJ63" s="1" t="str">
        <f>IF(ISBLANK(Prices!AJ61),"",Prices!AJ61)</f>
        <v/>
      </c>
      <c r="AK63" s="1" t="str">
        <f>IF(ISBLANK(Prices!AK61),"",Prices!AK61)</f>
        <v/>
      </c>
      <c r="AL63" s="1" t="str">
        <f>IF(ISBLANK(Prices!AL61),"",Prices!AL61)</f>
        <v/>
      </c>
      <c r="AM63" s="1" t="str">
        <f>IF(ISBLANK(Prices!AM61),"",Prices!AM61)</f>
        <v/>
      </c>
      <c r="AN63" s="1" t="str">
        <f>IF(ISBLANK(Prices!AN61),"",Prices!AN61)</f>
        <v/>
      </c>
      <c r="AO63" s="1" t="str">
        <f>IF(ISBLANK(Prices!AO61),"",Prices!AO61)</f>
        <v/>
      </c>
      <c r="AP63" s="1" t="str">
        <f>IF(ISBLANK(Prices!AP61),"",Prices!AP61)</f>
        <v/>
      </c>
      <c r="AQ63" s="1" t="str">
        <f>IF(ISBLANK(Prices!AQ61),"",Prices!AQ61)</f>
        <v/>
      </c>
      <c r="AR63" s="1" t="str">
        <f>IF(ISBLANK(Prices!AR61),"",Prices!AR61)</f>
        <v/>
      </c>
      <c r="AS63" s="1" t="str">
        <f>IF(ISBLANK(Prices!AS61),"",Prices!AS61)</f>
        <v/>
      </c>
      <c r="AT63" s="1" t="str">
        <f>IF(ISBLANK(Prices!AT61),"",Prices!AT61)</f>
        <v/>
      </c>
      <c r="AU63" s="1" t="str">
        <f>IF(ISBLANK(Prices!AU61),"",Prices!AU61)</f>
        <v/>
      </c>
      <c r="AV63" s="1" t="str">
        <f>IF(ISBLANK(Prices!AV61),"",Prices!AV61)</f>
        <v/>
      </c>
      <c r="AW63" s="1" t="str">
        <f>IF(ISBLANK(Prices!AW61),"",Prices!AW61)</f>
        <v/>
      </c>
      <c r="AX63" s="1" t="str">
        <f>IF(ISBLANK(Prices!AX61),"",Prices!AX61)</f>
        <v/>
      </c>
      <c r="AY63" s="1" t="str">
        <f>IF(ISBLANK(Prices!AY61),"",Prices!AY61)</f>
        <v/>
      </c>
      <c r="AZ63" s="1" t="str">
        <f>IF(ISBLANK(Prices!AZ61),"",Prices!AZ61)</f>
        <v/>
      </c>
      <c r="BA63" s="1" t="str">
        <f>IF(ISBLANK(Prices!BA61),"",Prices!BA61)</f>
        <v/>
      </c>
      <c r="BB63" s="1" t="str">
        <f>IF(ISBLANK(Prices!BB61),"",Prices!BB61)</f>
        <v/>
      </c>
      <c r="BC63" s="1" t="str">
        <f>IF(ISBLANK(Prices!BC61),"",Prices!BC61)</f>
        <v/>
      </c>
      <c r="BD63" s="1" t="str">
        <f>IF(ISBLANK(Prices!BD61),"",Prices!BD61)</f>
        <v/>
      </c>
      <c r="BE63" s="1" t="str">
        <f>IF(ISBLANK(Prices!BE61),"",Prices!BE61)</f>
        <v/>
      </c>
      <c r="BF63" s="1" t="str">
        <f>IF(ISBLANK(Prices!BF61),"",Prices!BF61)</f>
        <v/>
      </c>
      <c r="BG63" s="1" t="str">
        <f>IF(ISBLANK(Prices!BG61),"",Prices!BG61)</f>
        <v/>
      </c>
      <c r="BH63" s="1" t="str">
        <f>IF(ISBLANK(Prices!BH61),"",Prices!BH61)</f>
        <v/>
      </c>
      <c r="BI63" s="1" t="str">
        <f>IF(ISBLANK(Prices!BI61),"",Prices!BI61)</f>
        <v/>
      </c>
      <c r="BJ63" s="1" t="str">
        <f>IF(ISBLANK(Prices!BJ61),"",Prices!BJ61)</f>
        <v/>
      </c>
      <c r="BK63" s="1" t="str">
        <f>IF(ISBLANK(Prices!BK61),"",Prices!BK61)</f>
        <v/>
      </c>
      <c r="BL63" s="1" t="str">
        <f>IF(ISBLANK(Prices!BL61),"",Prices!BL61)</f>
        <v/>
      </c>
      <c r="BM63" s="1" t="str">
        <f>IF(ISBLANK(Prices!BM61),"",Prices!BM61)</f>
        <v/>
      </c>
      <c r="BN63" s="1" t="str">
        <f>IF(ISBLANK(Prices!BN61),"",Prices!BN61)</f>
        <v/>
      </c>
      <c r="BO63" s="1" t="str">
        <f>IF(ISBLANK(Prices!BO61),"",Prices!BO61)</f>
        <v/>
      </c>
      <c r="BP63" s="1" t="str">
        <f>IF(ISBLANK(Prices!BP61),"",Prices!BP61)</f>
        <v/>
      </c>
      <c r="BQ63" s="1" t="str">
        <f>IF(ISBLANK(Prices!BQ61),"",Prices!BQ61)</f>
        <v/>
      </c>
      <c r="BR63" s="1" t="str">
        <f>IF(ISBLANK(Prices!BR61),"",Prices!BR61)</f>
        <v/>
      </c>
      <c r="BS63" s="1" t="str">
        <f>IF(ISBLANK(Prices!BS61),"",Prices!BS61)</f>
        <v/>
      </c>
      <c r="BT63" s="1" t="str">
        <f>IF(ISBLANK(Prices!BT61),"",Prices!BT61)</f>
        <v/>
      </c>
      <c r="BU63" s="1" t="str">
        <f>IF(ISBLANK(Prices!BU61),"",Prices!BU61)</f>
        <v/>
      </c>
      <c r="BV63" s="1" t="str">
        <f>IF(ISBLANK(Prices!BV61),"",Prices!BV61)</f>
        <v/>
      </c>
      <c r="BW63" s="1" t="str">
        <f>IF(ISBLANK(Prices!BW61),"",Prices!BW61)</f>
        <v/>
      </c>
      <c r="BX63" s="1" t="str">
        <f>IF(ISBLANK(Prices!BX61),"",Prices!BX61)</f>
        <v/>
      </c>
      <c r="BY63" s="1" t="str">
        <f>IF(ISBLANK(Prices!BY61),"",Prices!BY61)</f>
        <v/>
      </c>
      <c r="BZ63" s="1" t="str">
        <f>IF(ISBLANK(Prices!BZ61),"",Prices!BZ61)</f>
        <v/>
      </c>
      <c r="CA63" s="1" t="str">
        <f>IF(ISBLANK(Prices!CA61),"",Prices!CA61)</f>
        <v/>
      </c>
      <c r="CB63" s="1" t="str">
        <f>IF(ISBLANK(Prices!CB61),"",Prices!CB61)</f>
        <v/>
      </c>
      <c r="CC63" s="1" t="str">
        <f>IF(ISBLANK(Prices!CC61),"",Prices!CC61)</f>
        <v/>
      </c>
      <c r="CD63" s="1" t="str">
        <f>IF(ISBLANK(Prices!CD61),"",Prices!CD61)</f>
        <v/>
      </c>
      <c r="CE63" s="1" t="str">
        <f>IF(ISBLANK(Prices!CE61),"",Prices!CE61)</f>
        <v/>
      </c>
      <c r="CF63" s="1" t="str">
        <f>IF(ISBLANK(Prices!CF61),"",Prices!CF61)</f>
        <v/>
      </c>
      <c r="CG63" s="1" t="str">
        <f>IF(ISBLANK(Prices!CG61),"",Prices!CG61)</f>
        <v/>
      </c>
      <c r="CH63" s="1" t="str">
        <f>IF(ISBLANK(Prices!CH61),"",Prices!CH61)</f>
        <v/>
      </c>
      <c r="CI63" s="1" t="str">
        <f>IF(ISBLANK(Prices!CI61),"",Prices!CI61)</f>
        <v/>
      </c>
      <c r="CJ63" s="1" t="str">
        <f>IF(ISBLANK(Prices!CJ61),"",Prices!CJ61)</f>
        <v/>
      </c>
      <c r="CK63" s="1" t="str">
        <f>IF(ISBLANK(Prices!CK61),"",Prices!CK61)</f>
        <v/>
      </c>
      <c r="CL63" s="1" t="str">
        <f>IF(ISBLANK(Prices!CL61),"",Prices!CL61)</f>
        <v/>
      </c>
      <c r="CM63" s="1" t="str">
        <f>IF(ISBLANK(Prices!CM61),"",Prices!CM61)</f>
        <v/>
      </c>
      <c r="CN63" s="1" t="str">
        <f>IF(ISBLANK(Prices!CN61),"",Prices!CN61)</f>
        <v/>
      </c>
    </row>
    <row r="64" spans="2:92" x14ac:dyDescent="0.25">
      <c r="B64" s="1" t="str">
        <f>IF(ISBLANK(Prices!A62),"",Prices!A62)</f>
        <v/>
      </c>
      <c r="C64" s="1" t="str">
        <f>IF(ISBLANK(Prices!C62),"",Prices!C62)</f>
        <v/>
      </c>
      <c r="D64" s="1" t="str">
        <f>IF(ISBLANK(Prices!D62),"",Prices!D62)</f>
        <v/>
      </c>
      <c r="E64" s="1" t="str">
        <f>IF(ISBLANK(Prices!E62),"",Prices!E62)</f>
        <v/>
      </c>
      <c r="F64" s="1" t="str">
        <f>IF(ISBLANK(Prices!F62),"",Prices!F62)</f>
        <v/>
      </c>
      <c r="G64" s="1" t="str">
        <f>IF(ISBLANK(Prices!G62),"",Prices!G62)</f>
        <v/>
      </c>
      <c r="H64" s="1" t="str">
        <f>IF(ISBLANK(Prices!H62),"",Prices!H62)</f>
        <v/>
      </c>
      <c r="I64" s="1" t="str">
        <f>IF(ISBLANK(Prices!I62),"",Prices!I62)</f>
        <v/>
      </c>
      <c r="J64" s="1" t="str">
        <f>IF(ISBLANK(Prices!J62),"",Prices!J62)</f>
        <v/>
      </c>
      <c r="K64" s="1" t="str">
        <f>IF(ISBLANK(Prices!K62),"",Prices!K62)</f>
        <v/>
      </c>
      <c r="L64" s="1" t="str">
        <f>IF(ISBLANK(Prices!L62),"",Prices!L62)</f>
        <v/>
      </c>
      <c r="M64" s="1" t="str">
        <f>IF(ISBLANK(Prices!M62),"",Prices!M62)</f>
        <v/>
      </c>
      <c r="N64" s="1" t="str">
        <f>IF(ISBLANK(Prices!N62),"",Prices!N62)</f>
        <v/>
      </c>
      <c r="O64" s="1" t="str">
        <f>IF(ISBLANK(Prices!O62),"",Prices!O62)</f>
        <v/>
      </c>
      <c r="P64" s="1" t="str">
        <f>IF(ISBLANK(Prices!P62),"",Prices!P62)</f>
        <v/>
      </c>
      <c r="Q64" s="1" t="str">
        <f>IF(ISBLANK(Prices!Q62),"",Prices!Q62)</f>
        <v/>
      </c>
      <c r="R64" s="1" t="str">
        <f>IF(ISBLANK(Prices!R62),"",Prices!R62)</f>
        <v/>
      </c>
      <c r="S64" s="1" t="str">
        <f>IF(ISBLANK(Prices!S62),"",Prices!S62)</f>
        <v/>
      </c>
      <c r="T64" s="1" t="str">
        <f>IF(ISBLANK(Prices!T62),"",Prices!T62)</f>
        <v/>
      </c>
      <c r="U64" s="1" t="str">
        <f>IF(ISBLANK(Prices!U62),"",Prices!U62)</f>
        <v/>
      </c>
      <c r="V64" s="1" t="str">
        <f>IF(ISBLANK(Prices!V62),"",Prices!V62)</f>
        <v/>
      </c>
      <c r="W64" s="1" t="str">
        <f>IF(ISBLANK(Prices!W62),"",Prices!W62)</f>
        <v/>
      </c>
      <c r="X64" s="1" t="str">
        <f>IF(ISBLANK(Prices!X62),"",Prices!X62)</f>
        <v/>
      </c>
      <c r="Y64" s="1" t="str">
        <f>IF(ISBLANK(Prices!Y62),"",Prices!Y62)</f>
        <v/>
      </c>
      <c r="Z64" s="1" t="str">
        <f>IF(ISBLANK(Prices!Z62),"",Prices!Z62)</f>
        <v/>
      </c>
      <c r="AA64" s="1" t="str">
        <f>IF(ISBLANK(Prices!AA62),"",Prices!AA62)</f>
        <v/>
      </c>
      <c r="AB64" s="1" t="str">
        <f>IF(ISBLANK(Prices!AB62),"",Prices!AB62)</f>
        <v/>
      </c>
      <c r="AC64" s="1" t="str">
        <f>IF(ISBLANK(Prices!AC62),"",Prices!AC62)</f>
        <v/>
      </c>
      <c r="AD64" s="1" t="str">
        <f>IF(ISBLANK(Prices!AD62),"",Prices!AD62)</f>
        <v/>
      </c>
      <c r="AE64" s="1" t="str">
        <f>IF(ISBLANK(Prices!AE62),"",Prices!AE62)</f>
        <v/>
      </c>
      <c r="AF64" s="1" t="str">
        <f>IF(ISBLANK(Prices!AF62),"",Prices!AF62)</f>
        <v/>
      </c>
      <c r="AG64" s="1" t="str">
        <f>IF(ISBLANK(Prices!AG62),"",Prices!AG62)</f>
        <v/>
      </c>
      <c r="AH64" s="1" t="str">
        <f>IF(ISBLANK(Prices!AH62),"",Prices!AH62)</f>
        <v/>
      </c>
      <c r="AI64" s="1" t="str">
        <f>IF(ISBLANK(Prices!AI62),"",Prices!AI62)</f>
        <v/>
      </c>
      <c r="AJ64" s="1" t="str">
        <f>IF(ISBLANK(Prices!AJ62),"",Prices!AJ62)</f>
        <v/>
      </c>
      <c r="AK64" s="1" t="str">
        <f>IF(ISBLANK(Prices!AK62),"",Prices!AK62)</f>
        <v/>
      </c>
      <c r="AL64" s="1" t="str">
        <f>IF(ISBLANK(Prices!AL62),"",Prices!AL62)</f>
        <v/>
      </c>
      <c r="AM64" s="1" t="str">
        <f>IF(ISBLANK(Prices!AM62),"",Prices!AM62)</f>
        <v/>
      </c>
      <c r="AN64" s="1" t="str">
        <f>IF(ISBLANK(Prices!AN62),"",Prices!AN62)</f>
        <v/>
      </c>
      <c r="AO64" s="1" t="str">
        <f>IF(ISBLANK(Prices!AO62),"",Prices!AO62)</f>
        <v/>
      </c>
      <c r="AP64" s="1" t="str">
        <f>IF(ISBLANK(Prices!AP62),"",Prices!AP62)</f>
        <v/>
      </c>
      <c r="AQ64" s="1" t="str">
        <f>IF(ISBLANK(Prices!AQ62),"",Prices!AQ62)</f>
        <v/>
      </c>
      <c r="AR64" s="1" t="str">
        <f>IF(ISBLANK(Prices!AR62),"",Prices!AR62)</f>
        <v/>
      </c>
      <c r="AS64" s="1" t="str">
        <f>IF(ISBLANK(Prices!AS62),"",Prices!AS62)</f>
        <v/>
      </c>
      <c r="AT64" s="1" t="str">
        <f>IF(ISBLANK(Prices!AT62),"",Prices!AT62)</f>
        <v/>
      </c>
      <c r="AU64" s="1" t="str">
        <f>IF(ISBLANK(Prices!AU62),"",Prices!AU62)</f>
        <v/>
      </c>
      <c r="AV64" s="1" t="str">
        <f>IF(ISBLANK(Prices!AV62),"",Prices!AV62)</f>
        <v/>
      </c>
      <c r="AW64" s="1" t="str">
        <f>IF(ISBLANK(Prices!AW62),"",Prices!AW62)</f>
        <v/>
      </c>
      <c r="AX64" s="1" t="str">
        <f>IF(ISBLANK(Prices!AX62),"",Prices!AX62)</f>
        <v/>
      </c>
      <c r="AY64" s="1" t="str">
        <f>IF(ISBLANK(Prices!AY62),"",Prices!AY62)</f>
        <v/>
      </c>
      <c r="AZ64" s="1" t="str">
        <f>IF(ISBLANK(Prices!AZ62),"",Prices!AZ62)</f>
        <v/>
      </c>
      <c r="BA64" s="1" t="str">
        <f>IF(ISBLANK(Prices!BA62),"",Prices!BA62)</f>
        <v/>
      </c>
      <c r="BB64" s="1" t="str">
        <f>IF(ISBLANK(Prices!BB62),"",Prices!BB62)</f>
        <v/>
      </c>
      <c r="BC64" s="1" t="str">
        <f>IF(ISBLANK(Prices!BC62),"",Prices!BC62)</f>
        <v/>
      </c>
      <c r="BD64" s="1" t="str">
        <f>IF(ISBLANK(Prices!BD62),"",Prices!BD62)</f>
        <v/>
      </c>
      <c r="BE64" s="1" t="str">
        <f>IF(ISBLANK(Prices!BE62),"",Prices!BE62)</f>
        <v/>
      </c>
      <c r="BF64" s="1" t="str">
        <f>IF(ISBLANK(Prices!BF62),"",Prices!BF62)</f>
        <v/>
      </c>
      <c r="BG64" s="1" t="str">
        <f>IF(ISBLANK(Prices!BG62),"",Prices!BG62)</f>
        <v/>
      </c>
      <c r="BH64" s="1" t="str">
        <f>IF(ISBLANK(Prices!BH62),"",Prices!BH62)</f>
        <v/>
      </c>
      <c r="BI64" s="1" t="str">
        <f>IF(ISBLANK(Prices!BI62),"",Prices!BI62)</f>
        <v/>
      </c>
      <c r="BJ64" s="1" t="str">
        <f>IF(ISBLANK(Prices!BJ62),"",Prices!BJ62)</f>
        <v/>
      </c>
      <c r="BK64" s="1" t="str">
        <f>IF(ISBLANK(Prices!BK62),"",Prices!BK62)</f>
        <v/>
      </c>
      <c r="BL64" s="1" t="str">
        <f>IF(ISBLANK(Prices!BL62),"",Prices!BL62)</f>
        <v/>
      </c>
      <c r="BM64" s="1" t="str">
        <f>IF(ISBLANK(Prices!BM62),"",Prices!BM62)</f>
        <v/>
      </c>
      <c r="BN64" s="1" t="str">
        <f>IF(ISBLANK(Prices!BN62),"",Prices!BN62)</f>
        <v/>
      </c>
      <c r="BO64" s="1" t="str">
        <f>IF(ISBLANK(Prices!BO62),"",Prices!BO62)</f>
        <v/>
      </c>
      <c r="BP64" s="1" t="str">
        <f>IF(ISBLANK(Prices!BP62),"",Prices!BP62)</f>
        <v/>
      </c>
      <c r="BQ64" s="1" t="str">
        <f>IF(ISBLANK(Prices!BQ62),"",Prices!BQ62)</f>
        <v/>
      </c>
      <c r="BR64" s="1" t="str">
        <f>IF(ISBLANK(Prices!BR62),"",Prices!BR62)</f>
        <v/>
      </c>
      <c r="BS64" s="1" t="str">
        <f>IF(ISBLANK(Prices!BS62),"",Prices!BS62)</f>
        <v/>
      </c>
      <c r="BT64" s="1" t="str">
        <f>IF(ISBLANK(Prices!BT62),"",Prices!BT62)</f>
        <v/>
      </c>
      <c r="BU64" s="1" t="str">
        <f>IF(ISBLANK(Prices!BU62),"",Prices!BU62)</f>
        <v/>
      </c>
      <c r="BV64" s="1" t="str">
        <f>IF(ISBLANK(Prices!BV62),"",Prices!BV62)</f>
        <v/>
      </c>
      <c r="BW64" s="1" t="str">
        <f>IF(ISBLANK(Prices!BW62),"",Prices!BW62)</f>
        <v/>
      </c>
      <c r="BX64" s="1" t="str">
        <f>IF(ISBLANK(Prices!BX62),"",Prices!BX62)</f>
        <v/>
      </c>
      <c r="BY64" s="1" t="str">
        <f>IF(ISBLANK(Prices!BY62),"",Prices!BY62)</f>
        <v/>
      </c>
      <c r="BZ64" s="1" t="str">
        <f>IF(ISBLANK(Prices!BZ62),"",Prices!BZ62)</f>
        <v/>
      </c>
      <c r="CA64" s="1" t="str">
        <f>IF(ISBLANK(Prices!CA62),"",Prices!CA62)</f>
        <v/>
      </c>
      <c r="CB64" s="1" t="str">
        <f>IF(ISBLANK(Prices!CB62),"",Prices!CB62)</f>
        <v/>
      </c>
      <c r="CC64" s="1" t="str">
        <f>IF(ISBLANK(Prices!CC62),"",Prices!CC62)</f>
        <v/>
      </c>
      <c r="CD64" s="1" t="str">
        <f>IF(ISBLANK(Prices!CD62),"",Prices!CD62)</f>
        <v/>
      </c>
      <c r="CE64" s="1" t="str">
        <f>IF(ISBLANK(Prices!CE62),"",Prices!CE62)</f>
        <v/>
      </c>
      <c r="CF64" s="1" t="str">
        <f>IF(ISBLANK(Prices!CF62),"",Prices!CF62)</f>
        <v/>
      </c>
      <c r="CG64" s="1" t="str">
        <f>IF(ISBLANK(Prices!CG62),"",Prices!CG62)</f>
        <v/>
      </c>
      <c r="CH64" s="1" t="str">
        <f>IF(ISBLANK(Prices!CH62),"",Prices!CH62)</f>
        <v/>
      </c>
      <c r="CI64" s="1" t="str">
        <f>IF(ISBLANK(Prices!CI62),"",Prices!CI62)</f>
        <v/>
      </c>
      <c r="CJ64" s="1" t="str">
        <f>IF(ISBLANK(Prices!CJ62),"",Prices!CJ62)</f>
        <v/>
      </c>
      <c r="CK64" s="1" t="str">
        <f>IF(ISBLANK(Prices!CK62),"",Prices!CK62)</f>
        <v/>
      </c>
      <c r="CL64" s="1" t="str">
        <f>IF(ISBLANK(Prices!CL62),"",Prices!CL62)</f>
        <v/>
      </c>
      <c r="CM64" s="1" t="str">
        <f>IF(ISBLANK(Prices!CM62),"",Prices!CM62)</f>
        <v/>
      </c>
      <c r="CN64" s="1" t="str">
        <f>IF(ISBLANK(Prices!CN62),"",Prices!CN62)</f>
        <v/>
      </c>
    </row>
    <row r="65" spans="2:92" x14ac:dyDescent="0.25">
      <c r="B65" s="1" t="str">
        <f>IF(ISBLANK(Prices!A63),"",Prices!A63)</f>
        <v/>
      </c>
      <c r="C65" s="1" t="str">
        <f>IF(ISBLANK(Prices!C63),"",Prices!C63)</f>
        <v/>
      </c>
      <c r="D65" s="1" t="str">
        <f>IF(ISBLANK(Prices!D63),"",Prices!D63)</f>
        <v/>
      </c>
      <c r="E65" s="1" t="str">
        <f>IF(ISBLANK(Prices!E63),"",Prices!E63)</f>
        <v/>
      </c>
      <c r="F65" s="1" t="str">
        <f>IF(ISBLANK(Prices!F63),"",Prices!F63)</f>
        <v/>
      </c>
      <c r="G65" s="1" t="str">
        <f>IF(ISBLANK(Prices!G63),"",Prices!G63)</f>
        <v/>
      </c>
      <c r="H65" s="1" t="str">
        <f>IF(ISBLANK(Prices!H63),"",Prices!H63)</f>
        <v/>
      </c>
      <c r="I65" s="1" t="str">
        <f>IF(ISBLANK(Prices!I63),"",Prices!I63)</f>
        <v/>
      </c>
      <c r="J65" s="1" t="str">
        <f>IF(ISBLANK(Prices!J63),"",Prices!J63)</f>
        <v/>
      </c>
      <c r="K65" s="1" t="str">
        <f>IF(ISBLANK(Prices!K63),"",Prices!K63)</f>
        <v/>
      </c>
      <c r="L65" s="1" t="str">
        <f>IF(ISBLANK(Prices!L63),"",Prices!L63)</f>
        <v/>
      </c>
      <c r="M65" s="1" t="str">
        <f>IF(ISBLANK(Prices!M63),"",Prices!M63)</f>
        <v/>
      </c>
      <c r="N65" s="1" t="str">
        <f>IF(ISBLANK(Prices!N63),"",Prices!N63)</f>
        <v/>
      </c>
      <c r="O65" s="1" t="str">
        <f>IF(ISBLANK(Prices!O63),"",Prices!O63)</f>
        <v/>
      </c>
      <c r="P65" s="1" t="str">
        <f>IF(ISBLANK(Prices!P63),"",Prices!P63)</f>
        <v/>
      </c>
      <c r="Q65" s="1" t="str">
        <f>IF(ISBLANK(Prices!Q63),"",Prices!Q63)</f>
        <v/>
      </c>
      <c r="R65" s="1" t="str">
        <f>IF(ISBLANK(Prices!R63),"",Prices!R63)</f>
        <v/>
      </c>
      <c r="S65" s="1" t="str">
        <f>IF(ISBLANK(Prices!S63),"",Prices!S63)</f>
        <v/>
      </c>
      <c r="T65" s="1" t="str">
        <f>IF(ISBLANK(Prices!T63),"",Prices!T63)</f>
        <v/>
      </c>
      <c r="U65" s="1" t="str">
        <f>IF(ISBLANK(Prices!U63),"",Prices!U63)</f>
        <v/>
      </c>
      <c r="V65" s="1" t="str">
        <f>IF(ISBLANK(Prices!V63),"",Prices!V63)</f>
        <v/>
      </c>
      <c r="W65" s="1" t="str">
        <f>IF(ISBLANK(Prices!W63),"",Prices!W63)</f>
        <v/>
      </c>
      <c r="X65" s="1" t="str">
        <f>IF(ISBLANK(Prices!X63),"",Prices!X63)</f>
        <v/>
      </c>
      <c r="Y65" s="1" t="str">
        <f>IF(ISBLANK(Prices!Y63),"",Prices!Y63)</f>
        <v/>
      </c>
      <c r="Z65" s="1" t="str">
        <f>IF(ISBLANK(Prices!Z63),"",Prices!Z63)</f>
        <v/>
      </c>
      <c r="AA65" s="1" t="str">
        <f>IF(ISBLANK(Prices!AA63),"",Prices!AA63)</f>
        <v/>
      </c>
      <c r="AB65" s="1" t="str">
        <f>IF(ISBLANK(Prices!AB63),"",Prices!AB63)</f>
        <v/>
      </c>
      <c r="AC65" s="1" t="str">
        <f>IF(ISBLANK(Prices!AC63),"",Prices!AC63)</f>
        <v/>
      </c>
      <c r="AD65" s="1" t="str">
        <f>IF(ISBLANK(Prices!AD63),"",Prices!AD63)</f>
        <v/>
      </c>
      <c r="AE65" s="1" t="str">
        <f>IF(ISBLANK(Prices!AE63),"",Prices!AE63)</f>
        <v/>
      </c>
      <c r="AF65" s="1" t="str">
        <f>IF(ISBLANK(Prices!AF63),"",Prices!AF63)</f>
        <v/>
      </c>
      <c r="AG65" s="1" t="str">
        <f>IF(ISBLANK(Prices!AG63),"",Prices!AG63)</f>
        <v/>
      </c>
      <c r="AH65" s="1" t="str">
        <f>IF(ISBLANK(Prices!AH63),"",Prices!AH63)</f>
        <v/>
      </c>
      <c r="AI65" s="1" t="str">
        <f>IF(ISBLANK(Prices!AI63),"",Prices!AI63)</f>
        <v/>
      </c>
      <c r="AJ65" s="1" t="str">
        <f>IF(ISBLANK(Prices!AJ63),"",Prices!AJ63)</f>
        <v/>
      </c>
      <c r="AK65" s="1" t="str">
        <f>IF(ISBLANK(Prices!AK63),"",Prices!AK63)</f>
        <v/>
      </c>
      <c r="AL65" s="1" t="str">
        <f>IF(ISBLANK(Prices!AL63),"",Prices!AL63)</f>
        <v/>
      </c>
      <c r="AM65" s="1" t="str">
        <f>IF(ISBLANK(Prices!AM63),"",Prices!AM63)</f>
        <v/>
      </c>
      <c r="AN65" s="1" t="str">
        <f>IF(ISBLANK(Prices!AN63),"",Prices!AN63)</f>
        <v/>
      </c>
      <c r="AO65" s="1" t="str">
        <f>IF(ISBLANK(Prices!AO63),"",Prices!AO63)</f>
        <v/>
      </c>
      <c r="AP65" s="1" t="str">
        <f>IF(ISBLANK(Prices!AP63),"",Prices!AP63)</f>
        <v/>
      </c>
      <c r="AQ65" s="1" t="str">
        <f>IF(ISBLANK(Prices!AQ63),"",Prices!AQ63)</f>
        <v/>
      </c>
      <c r="AR65" s="1" t="str">
        <f>IF(ISBLANK(Prices!AR63),"",Prices!AR63)</f>
        <v/>
      </c>
      <c r="AS65" s="1" t="str">
        <f>IF(ISBLANK(Prices!AS63),"",Prices!AS63)</f>
        <v/>
      </c>
      <c r="AT65" s="1" t="str">
        <f>IF(ISBLANK(Prices!AT63),"",Prices!AT63)</f>
        <v/>
      </c>
      <c r="AU65" s="1" t="str">
        <f>IF(ISBLANK(Prices!AU63),"",Prices!AU63)</f>
        <v/>
      </c>
      <c r="AV65" s="1" t="str">
        <f>IF(ISBLANK(Prices!AV63),"",Prices!AV63)</f>
        <v/>
      </c>
      <c r="AW65" s="1" t="str">
        <f>IF(ISBLANK(Prices!AW63),"",Prices!AW63)</f>
        <v/>
      </c>
      <c r="AX65" s="1" t="str">
        <f>IF(ISBLANK(Prices!AX63),"",Prices!AX63)</f>
        <v/>
      </c>
      <c r="AY65" s="1" t="str">
        <f>IF(ISBLANK(Prices!AY63),"",Prices!AY63)</f>
        <v/>
      </c>
      <c r="AZ65" s="1" t="str">
        <f>IF(ISBLANK(Prices!AZ63),"",Prices!AZ63)</f>
        <v/>
      </c>
      <c r="BA65" s="1" t="str">
        <f>IF(ISBLANK(Prices!BA63),"",Prices!BA63)</f>
        <v/>
      </c>
      <c r="BB65" s="1" t="str">
        <f>IF(ISBLANK(Prices!BB63),"",Prices!BB63)</f>
        <v/>
      </c>
      <c r="BC65" s="1" t="str">
        <f>IF(ISBLANK(Prices!BC63),"",Prices!BC63)</f>
        <v/>
      </c>
      <c r="BD65" s="1" t="str">
        <f>IF(ISBLANK(Prices!BD63),"",Prices!BD63)</f>
        <v/>
      </c>
      <c r="BE65" s="1" t="str">
        <f>IF(ISBLANK(Prices!BE63),"",Prices!BE63)</f>
        <v/>
      </c>
      <c r="BF65" s="1" t="str">
        <f>IF(ISBLANK(Prices!BF63),"",Prices!BF63)</f>
        <v/>
      </c>
      <c r="BG65" s="1" t="str">
        <f>IF(ISBLANK(Prices!BG63),"",Prices!BG63)</f>
        <v/>
      </c>
      <c r="BH65" s="1" t="str">
        <f>IF(ISBLANK(Prices!BH63),"",Prices!BH63)</f>
        <v/>
      </c>
      <c r="BI65" s="1" t="str">
        <f>IF(ISBLANK(Prices!BI63),"",Prices!BI63)</f>
        <v/>
      </c>
      <c r="BJ65" s="1" t="str">
        <f>IF(ISBLANK(Prices!BJ63),"",Prices!BJ63)</f>
        <v/>
      </c>
      <c r="BK65" s="1" t="str">
        <f>IF(ISBLANK(Prices!BK63),"",Prices!BK63)</f>
        <v/>
      </c>
      <c r="BL65" s="1" t="str">
        <f>IF(ISBLANK(Prices!BL63),"",Prices!BL63)</f>
        <v/>
      </c>
      <c r="BM65" s="1" t="str">
        <f>IF(ISBLANK(Prices!BM63),"",Prices!BM63)</f>
        <v/>
      </c>
      <c r="BN65" s="1" t="str">
        <f>IF(ISBLANK(Prices!BN63),"",Prices!BN63)</f>
        <v/>
      </c>
      <c r="BO65" s="1" t="str">
        <f>IF(ISBLANK(Prices!BO63),"",Prices!BO63)</f>
        <v/>
      </c>
      <c r="BP65" s="1" t="str">
        <f>IF(ISBLANK(Prices!BP63),"",Prices!BP63)</f>
        <v/>
      </c>
      <c r="BQ65" s="1" t="str">
        <f>IF(ISBLANK(Prices!BQ63),"",Prices!BQ63)</f>
        <v/>
      </c>
      <c r="BR65" s="1" t="str">
        <f>IF(ISBLANK(Prices!BR63),"",Prices!BR63)</f>
        <v/>
      </c>
      <c r="BS65" s="1" t="str">
        <f>IF(ISBLANK(Prices!BS63),"",Prices!BS63)</f>
        <v/>
      </c>
      <c r="BT65" s="1" t="str">
        <f>IF(ISBLANK(Prices!BT63),"",Prices!BT63)</f>
        <v/>
      </c>
      <c r="BU65" s="1" t="str">
        <f>IF(ISBLANK(Prices!BU63),"",Prices!BU63)</f>
        <v/>
      </c>
      <c r="BV65" s="1" t="str">
        <f>IF(ISBLANK(Prices!BV63),"",Prices!BV63)</f>
        <v/>
      </c>
      <c r="BW65" s="1" t="str">
        <f>IF(ISBLANK(Prices!BW63),"",Prices!BW63)</f>
        <v/>
      </c>
      <c r="BX65" s="1" t="str">
        <f>IF(ISBLANK(Prices!BX63),"",Prices!BX63)</f>
        <v/>
      </c>
      <c r="BY65" s="1" t="str">
        <f>IF(ISBLANK(Prices!BY63),"",Prices!BY63)</f>
        <v/>
      </c>
      <c r="BZ65" s="1" t="str">
        <f>IF(ISBLANK(Prices!BZ63),"",Prices!BZ63)</f>
        <v/>
      </c>
      <c r="CA65" s="1" t="str">
        <f>IF(ISBLANK(Prices!CA63),"",Prices!CA63)</f>
        <v/>
      </c>
      <c r="CB65" s="1" t="str">
        <f>IF(ISBLANK(Prices!CB63),"",Prices!CB63)</f>
        <v/>
      </c>
      <c r="CC65" s="1" t="str">
        <f>IF(ISBLANK(Prices!CC63),"",Prices!CC63)</f>
        <v/>
      </c>
      <c r="CD65" s="1" t="str">
        <f>IF(ISBLANK(Prices!CD63),"",Prices!CD63)</f>
        <v/>
      </c>
      <c r="CE65" s="1" t="str">
        <f>IF(ISBLANK(Prices!CE63),"",Prices!CE63)</f>
        <v/>
      </c>
      <c r="CF65" s="1" t="str">
        <f>IF(ISBLANK(Prices!CF63),"",Prices!CF63)</f>
        <v/>
      </c>
      <c r="CG65" s="1" t="str">
        <f>IF(ISBLANK(Prices!CG63),"",Prices!CG63)</f>
        <v/>
      </c>
      <c r="CH65" s="1" t="str">
        <f>IF(ISBLANK(Prices!CH63),"",Prices!CH63)</f>
        <v/>
      </c>
      <c r="CI65" s="1" t="str">
        <f>IF(ISBLANK(Prices!CI63),"",Prices!CI63)</f>
        <v/>
      </c>
      <c r="CJ65" s="1" t="str">
        <f>IF(ISBLANK(Prices!CJ63),"",Prices!CJ63)</f>
        <v/>
      </c>
      <c r="CK65" s="1" t="str">
        <f>IF(ISBLANK(Prices!CK63),"",Prices!CK63)</f>
        <v/>
      </c>
      <c r="CL65" s="1" t="str">
        <f>IF(ISBLANK(Prices!CL63),"",Prices!CL63)</f>
        <v/>
      </c>
      <c r="CM65" s="1" t="str">
        <f>IF(ISBLANK(Prices!CM63),"",Prices!CM63)</f>
        <v/>
      </c>
      <c r="CN65" s="1" t="str">
        <f>IF(ISBLANK(Prices!CN63),"",Prices!CN63)</f>
        <v/>
      </c>
    </row>
    <row r="66" spans="2:92" x14ac:dyDescent="0.25">
      <c r="B66" s="1" t="str">
        <f>IF(ISBLANK(Prices!A64),"",Prices!A64)</f>
        <v/>
      </c>
      <c r="C66" s="1" t="str">
        <f>IF(ISBLANK(Prices!C64),"",Prices!C64)</f>
        <v/>
      </c>
      <c r="D66" s="1" t="str">
        <f>IF(ISBLANK(Prices!D64),"",Prices!D64)</f>
        <v/>
      </c>
      <c r="E66" s="1" t="str">
        <f>IF(ISBLANK(Prices!E64),"",Prices!E64)</f>
        <v/>
      </c>
      <c r="F66" s="1" t="str">
        <f>IF(ISBLANK(Prices!F64),"",Prices!F64)</f>
        <v/>
      </c>
      <c r="G66" s="1" t="str">
        <f>IF(ISBLANK(Prices!G64),"",Prices!G64)</f>
        <v/>
      </c>
      <c r="H66" s="1" t="str">
        <f>IF(ISBLANK(Prices!H64),"",Prices!H64)</f>
        <v/>
      </c>
      <c r="I66" s="1" t="str">
        <f>IF(ISBLANK(Prices!I64),"",Prices!I64)</f>
        <v/>
      </c>
      <c r="J66" s="1" t="str">
        <f>IF(ISBLANK(Prices!J64),"",Prices!J64)</f>
        <v/>
      </c>
      <c r="K66" s="1" t="str">
        <f>IF(ISBLANK(Prices!K64),"",Prices!K64)</f>
        <v/>
      </c>
      <c r="L66" s="1" t="str">
        <f>IF(ISBLANK(Prices!L64),"",Prices!L64)</f>
        <v/>
      </c>
      <c r="M66" s="1" t="str">
        <f>IF(ISBLANK(Prices!M64),"",Prices!M64)</f>
        <v/>
      </c>
      <c r="N66" s="1" t="str">
        <f>IF(ISBLANK(Prices!N64),"",Prices!N64)</f>
        <v/>
      </c>
      <c r="O66" s="1" t="str">
        <f>IF(ISBLANK(Prices!O64),"",Prices!O64)</f>
        <v/>
      </c>
      <c r="P66" s="1" t="str">
        <f>IF(ISBLANK(Prices!P64),"",Prices!P64)</f>
        <v/>
      </c>
      <c r="Q66" s="1" t="str">
        <f>IF(ISBLANK(Prices!Q64),"",Prices!Q64)</f>
        <v/>
      </c>
      <c r="R66" s="1" t="str">
        <f>IF(ISBLANK(Prices!R64),"",Prices!R64)</f>
        <v/>
      </c>
      <c r="S66" s="1" t="str">
        <f>IF(ISBLANK(Prices!S64),"",Prices!S64)</f>
        <v/>
      </c>
      <c r="T66" s="1" t="str">
        <f>IF(ISBLANK(Prices!T64),"",Prices!T64)</f>
        <v/>
      </c>
      <c r="U66" s="1" t="str">
        <f>IF(ISBLANK(Prices!U64),"",Prices!U64)</f>
        <v/>
      </c>
      <c r="V66" s="1" t="str">
        <f>IF(ISBLANK(Prices!V64),"",Prices!V64)</f>
        <v/>
      </c>
      <c r="W66" s="1" t="str">
        <f>IF(ISBLANK(Prices!W64),"",Prices!W64)</f>
        <v/>
      </c>
      <c r="X66" s="1" t="str">
        <f>IF(ISBLANK(Prices!X64),"",Prices!X64)</f>
        <v/>
      </c>
      <c r="Y66" s="1" t="str">
        <f>IF(ISBLANK(Prices!Y64),"",Prices!Y64)</f>
        <v/>
      </c>
      <c r="Z66" s="1" t="str">
        <f>IF(ISBLANK(Prices!Z64),"",Prices!Z64)</f>
        <v/>
      </c>
      <c r="AA66" s="1" t="str">
        <f>IF(ISBLANK(Prices!AA64),"",Prices!AA64)</f>
        <v/>
      </c>
      <c r="AB66" s="1" t="str">
        <f>IF(ISBLANK(Prices!AB64),"",Prices!AB64)</f>
        <v/>
      </c>
      <c r="AC66" s="1" t="str">
        <f>IF(ISBLANK(Prices!AC64),"",Prices!AC64)</f>
        <v/>
      </c>
      <c r="AD66" s="1" t="str">
        <f>IF(ISBLANK(Prices!AD64),"",Prices!AD64)</f>
        <v/>
      </c>
      <c r="AE66" s="1" t="str">
        <f>IF(ISBLANK(Prices!AE64),"",Prices!AE64)</f>
        <v/>
      </c>
      <c r="AF66" s="1" t="str">
        <f>IF(ISBLANK(Prices!AF64),"",Prices!AF64)</f>
        <v/>
      </c>
      <c r="AG66" s="1" t="str">
        <f>IF(ISBLANK(Prices!AG64),"",Prices!AG64)</f>
        <v/>
      </c>
      <c r="AH66" s="1" t="str">
        <f>IF(ISBLANK(Prices!AH64),"",Prices!AH64)</f>
        <v/>
      </c>
      <c r="AI66" s="1" t="str">
        <f>IF(ISBLANK(Prices!AI64),"",Prices!AI64)</f>
        <v/>
      </c>
      <c r="AJ66" s="1" t="str">
        <f>IF(ISBLANK(Prices!AJ64),"",Prices!AJ64)</f>
        <v/>
      </c>
      <c r="AK66" s="1" t="str">
        <f>IF(ISBLANK(Prices!AK64),"",Prices!AK64)</f>
        <v/>
      </c>
      <c r="AL66" s="1" t="str">
        <f>IF(ISBLANK(Prices!AL64),"",Prices!AL64)</f>
        <v/>
      </c>
      <c r="AM66" s="1" t="str">
        <f>IF(ISBLANK(Prices!AM64),"",Prices!AM64)</f>
        <v/>
      </c>
      <c r="AN66" s="1" t="str">
        <f>IF(ISBLANK(Prices!AN64),"",Prices!AN64)</f>
        <v/>
      </c>
      <c r="AO66" s="1" t="str">
        <f>IF(ISBLANK(Prices!AO64),"",Prices!AO64)</f>
        <v/>
      </c>
      <c r="AP66" s="1" t="str">
        <f>IF(ISBLANK(Prices!AP64),"",Prices!AP64)</f>
        <v/>
      </c>
      <c r="AQ66" s="1" t="str">
        <f>IF(ISBLANK(Prices!AQ64),"",Prices!AQ64)</f>
        <v/>
      </c>
      <c r="AR66" s="1" t="str">
        <f>IF(ISBLANK(Prices!AR64),"",Prices!AR64)</f>
        <v/>
      </c>
      <c r="AS66" s="1" t="str">
        <f>IF(ISBLANK(Prices!AS64),"",Prices!AS64)</f>
        <v/>
      </c>
      <c r="AT66" s="1" t="str">
        <f>IF(ISBLANK(Prices!AT64),"",Prices!AT64)</f>
        <v/>
      </c>
      <c r="AU66" s="1" t="str">
        <f>IF(ISBLANK(Prices!AU64),"",Prices!AU64)</f>
        <v/>
      </c>
      <c r="AV66" s="1" t="str">
        <f>IF(ISBLANK(Prices!AV64),"",Prices!AV64)</f>
        <v/>
      </c>
      <c r="AW66" s="1" t="str">
        <f>IF(ISBLANK(Prices!AW64),"",Prices!AW64)</f>
        <v/>
      </c>
      <c r="AX66" s="1" t="str">
        <f>IF(ISBLANK(Prices!AX64),"",Prices!AX64)</f>
        <v/>
      </c>
      <c r="AY66" s="1" t="str">
        <f>IF(ISBLANK(Prices!AY64),"",Prices!AY64)</f>
        <v/>
      </c>
      <c r="AZ66" s="1" t="str">
        <f>IF(ISBLANK(Prices!AZ64),"",Prices!AZ64)</f>
        <v/>
      </c>
      <c r="BA66" s="1" t="str">
        <f>IF(ISBLANK(Prices!BA64),"",Prices!BA64)</f>
        <v/>
      </c>
      <c r="BB66" s="1" t="str">
        <f>IF(ISBLANK(Prices!BB64),"",Prices!BB64)</f>
        <v/>
      </c>
      <c r="BC66" s="1" t="str">
        <f>IF(ISBLANK(Prices!BC64),"",Prices!BC64)</f>
        <v/>
      </c>
      <c r="BD66" s="1" t="str">
        <f>IF(ISBLANK(Prices!BD64),"",Prices!BD64)</f>
        <v/>
      </c>
      <c r="BE66" s="1" t="str">
        <f>IF(ISBLANK(Prices!BE64),"",Prices!BE64)</f>
        <v/>
      </c>
      <c r="BF66" s="1" t="str">
        <f>IF(ISBLANK(Prices!BF64),"",Prices!BF64)</f>
        <v/>
      </c>
      <c r="BG66" s="1" t="str">
        <f>IF(ISBLANK(Prices!BG64),"",Prices!BG64)</f>
        <v/>
      </c>
      <c r="BH66" s="1" t="str">
        <f>IF(ISBLANK(Prices!BH64),"",Prices!BH64)</f>
        <v/>
      </c>
      <c r="BI66" s="1" t="str">
        <f>IF(ISBLANK(Prices!BI64),"",Prices!BI64)</f>
        <v/>
      </c>
      <c r="BJ66" s="1" t="str">
        <f>IF(ISBLANK(Prices!BJ64),"",Prices!BJ64)</f>
        <v/>
      </c>
      <c r="BK66" s="1" t="str">
        <f>IF(ISBLANK(Prices!BK64),"",Prices!BK64)</f>
        <v/>
      </c>
      <c r="BL66" s="1" t="str">
        <f>IF(ISBLANK(Prices!BL64),"",Prices!BL64)</f>
        <v/>
      </c>
      <c r="BM66" s="1" t="str">
        <f>IF(ISBLANK(Prices!BM64),"",Prices!BM64)</f>
        <v/>
      </c>
      <c r="BN66" s="1" t="str">
        <f>IF(ISBLANK(Prices!BN64),"",Prices!BN64)</f>
        <v/>
      </c>
      <c r="BO66" s="1" t="str">
        <f>IF(ISBLANK(Prices!BO64),"",Prices!BO64)</f>
        <v/>
      </c>
      <c r="BP66" s="1" t="str">
        <f>IF(ISBLANK(Prices!BP64),"",Prices!BP64)</f>
        <v/>
      </c>
      <c r="BQ66" s="1" t="str">
        <f>IF(ISBLANK(Prices!BQ64),"",Prices!BQ64)</f>
        <v/>
      </c>
      <c r="BR66" s="1" t="str">
        <f>IF(ISBLANK(Prices!BR64),"",Prices!BR64)</f>
        <v/>
      </c>
      <c r="BS66" s="1" t="str">
        <f>IF(ISBLANK(Prices!BS64),"",Prices!BS64)</f>
        <v/>
      </c>
      <c r="BT66" s="1" t="str">
        <f>IF(ISBLANK(Prices!BT64),"",Prices!BT64)</f>
        <v/>
      </c>
      <c r="BU66" s="1" t="str">
        <f>IF(ISBLANK(Prices!BU64),"",Prices!BU64)</f>
        <v/>
      </c>
      <c r="BV66" s="1" t="str">
        <f>IF(ISBLANK(Prices!BV64),"",Prices!BV64)</f>
        <v/>
      </c>
      <c r="BW66" s="1" t="str">
        <f>IF(ISBLANK(Prices!BW64),"",Prices!BW64)</f>
        <v/>
      </c>
      <c r="BX66" s="1" t="str">
        <f>IF(ISBLANK(Prices!BX64),"",Prices!BX64)</f>
        <v/>
      </c>
      <c r="BY66" s="1" t="str">
        <f>IF(ISBLANK(Prices!BY64),"",Prices!BY64)</f>
        <v/>
      </c>
      <c r="BZ66" s="1" t="str">
        <f>IF(ISBLANK(Prices!BZ64),"",Prices!BZ64)</f>
        <v/>
      </c>
      <c r="CA66" s="1" t="str">
        <f>IF(ISBLANK(Prices!CA64),"",Prices!CA64)</f>
        <v/>
      </c>
      <c r="CB66" s="1" t="str">
        <f>IF(ISBLANK(Prices!CB64),"",Prices!CB64)</f>
        <v/>
      </c>
      <c r="CC66" s="1" t="str">
        <f>IF(ISBLANK(Prices!CC64),"",Prices!CC64)</f>
        <v/>
      </c>
      <c r="CD66" s="1" t="str">
        <f>IF(ISBLANK(Prices!CD64),"",Prices!CD64)</f>
        <v/>
      </c>
      <c r="CE66" s="1" t="str">
        <f>IF(ISBLANK(Prices!CE64),"",Prices!CE64)</f>
        <v/>
      </c>
      <c r="CF66" s="1" t="str">
        <f>IF(ISBLANK(Prices!CF64),"",Prices!CF64)</f>
        <v/>
      </c>
      <c r="CG66" s="1" t="str">
        <f>IF(ISBLANK(Prices!CG64),"",Prices!CG64)</f>
        <v/>
      </c>
      <c r="CH66" s="1" t="str">
        <f>IF(ISBLANK(Prices!CH64),"",Prices!CH64)</f>
        <v/>
      </c>
      <c r="CI66" s="1" t="str">
        <f>IF(ISBLANK(Prices!CI64),"",Prices!CI64)</f>
        <v/>
      </c>
      <c r="CJ66" s="1" t="str">
        <f>IF(ISBLANK(Prices!CJ64),"",Prices!CJ64)</f>
        <v/>
      </c>
      <c r="CK66" s="1" t="str">
        <f>IF(ISBLANK(Prices!CK64),"",Prices!CK64)</f>
        <v/>
      </c>
      <c r="CL66" s="1" t="str">
        <f>IF(ISBLANK(Prices!CL64),"",Prices!CL64)</f>
        <v/>
      </c>
      <c r="CM66" s="1" t="str">
        <f>IF(ISBLANK(Prices!CM64),"",Prices!CM64)</f>
        <v/>
      </c>
      <c r="CN66" s="1" t="str">
        <f>IF(ISBLANK(Prices!CN64),"",Prices!CN64)</f>
        <v/>
      </c>
    </row>
    <row r="67" spans="2:92" x14ac:dyDescent="0.25">
      <c r="B67" s="1" t="str">
        <f>IF(ISBLANK(Prices!A65),"",Prices!A65)</f>
        <v/>
      </c>
      <c r="C67" s="1" t="str">
        <f>IF(ISBLANK(Prices!C65),"",Prices!C65)</f>
        <v/>
      </c>
      <c r="D67" s="1" t="str">
        <f>IF(ISBLANK(Prices!D65),"",Prices!D65)</f>
        <v/>
      </c>
      <c r="E67" s="1" t="str">
        <f>IF(ISBLANK(Prices!E65),"",Prices!E65)</f>
        <v/>
      </c>
      <c r="F67" s="1" t="str">
        <f>IF(ISBLANK(Prices!F65),"",Prices!F65)</f>
        <v/>
      </c>
      <c r="G67" s="1" t="str">
        <f>IF(ISBLANK(Prices!G65),"",Prices!G65)</f>
        <v/>
      </c>
      <c r="H67" s="1" t="str">
        <f>IF(ISBLANK(Prices!H65),"",Prices!H65)</f>
        <v/>
      </c>
      <c r="I67" s="1" t="str">
        <f>IF(ISBLANK(Prices!I65),"",Prices!I65)</f>
        <v/>
      </c>
      <c r="J67" s="1" t="str">
        <f>IF(ISBLANK(Prices!J65),"",Prices!J65)</f>
        <v/>
      </c>
      <c r="K67" s="1" t="str">
        <f>IF(ISBLANK(Prices!K65),"",Prices!K65)</f>
        <v/>
      </c>
      <c r="L67" s="1" t="str">
        <f>IF(ISBLANK(Prices!L65),"",Prices!L65)</f>
        <v/>
      </c>
      <c r="M67" s="1" t="str">
        <f>IF(ISBLANK(Prices!M65),"",Prices!M65)</f>
        <v/>
      </c>
      <c r="N67" s="1" t="str">
        <f>IF(ISBLANK(Prices!N65),"",Prices!N65)</f>
        <v/>
      </c>
      <c r="O67" s="1" t="str">
        <f>IF(ISBLANK(Prices!O65),"",Prices!O65)</f>
        <v/>
      </c>
      <c r="P67" s="1" t="str">
        <f>IF(ISBLANK(Prices!P65),"",Prices!P65)</f>
        <v/>
      </c>
      <c r="Q67" s="1" t="str">
        <f>IF(ISBLANK(Prices!Q65),"",Prices!Q65)</f>
        <v/>
      </c>
      <c r="R67" s="1" t="str">
        <f>IF(ISBLANK(Prices!R65),"",Prices!R65)</f>
        <v/>
      </c>
      <c r="S67" s="1" t="str">
        <f>IF(ISBLANK(Prices!S65),"",Prices!S65)</f>
        <v/>
      </c>
      <c r="T67" s="1" t="str">
        <f>IF(ISBLANK(Prices!T65),"",Prices!T65)</f>
        <v/>
      </c>
      <c r="U67" s="1" t="str">
        <f>IF(ISBLANK(Prices!U65),"",Prices!U65)</f>
        <v/>
      </c>
      <c r="V67" s="1" t="str">
        <f>IF(ISBLANK(Prices!V65),"",Prices!V65)</f>
        <v/>
      </c>
      <c r="W67" s="1" t="str">
        <f>IF(ISBLANK(Prices!W65),"",Prices!W65)</f>
        <v/>
      </c>
      <c r="X67" s="1" t="str">
        <f>IF(ISBLANK(Prices!X65),"",Prices!X65)</f>
        <v/>
      </c>
      <c r="Y67" s="1" t="str">
        <f>IF(ISBLANK(Prices!Y65),"",Prices!Y65)</f>
        <v/>
      </c>
      <c r="Z67" s="1" t="str">
        <f>IF(ISBLANK(Prices!Z65),"",Prices!Z65)</f>
        <v/>
      </c>
      <c r="AA67" s="1" t="str">
        <f>IF(ISBLANK(Prices!AA65),"",Prices!AA65)</f>
        <v/>
      </c>
      <c r="AB67" s="1" t="str">
        <f>IF(ISBLANK(Prices!AB65),"",Prices!AB65)</f>
        <v/>
      </c>
      <c r="AC67" s="1" t="str">
        <f>IF(ISBLANK(Prices!AC65),"",Prices!AC65)</f>
        <v/>
      </c>
      <c r="AD67" s="1" t="str">
        <f>IF(ISBLANK(Prices!AD65),"",Prices!AD65)</f>
        <v/>
      </c>
      <c r="AE67" s="1" t="str">
        <f>IF(ISBLANK(Prices!AE65),"",Prices!AE65)</f>
        <v/>
      </c>
      <c r="AF67" s="1" t="str">
        <f>IF(ISBLANK(Prices!AF65),"",Prices!AF65)</f>
        <v/>
      </c>
      <c r="AG67" s="1" t="str">
        <f>IF(ISBLANK(Prices!AG65),"",Prices!AG65)</f>
        <v/>
      </c>
      <c r="AH67" s="1" t="str">
        <f>IF(ISBLANK(Prices!AH65),"",Prices!AH65)</f>
        <v/>
      </c>
      <c r="AI67" s="1" t="str">
        <f>IF(ISBLANK(Prices!AI65),"",Prices!AI65)</f>
        <v/>
      </c>
      <c r="AJ67" s="1" t="str">
        <f>IF(ISBLANK(Prices!AJ65),"",Prices!AJ65)</f>
        <v/>
      </c>
      <c r="AK67" s="1" t="str">
        <f>IF(ISBLANK(Prices!AK65),"",Prices!AK65)</f>
        <v/>
      </c>
      <c r="AL67" s="1" t="str">
        <f>IF(ISBLANK(Prices!AL65),"",Prices!AL65)</f>
        <v/>
      </c>
      <c r="AM67" s="1" t="str">
        <f>IF(ISBLANK(Prices!AM65),"",Prices!AM65)</f>
        <v/>
      </c>
      <c r="AN67" s="1" t="str">
        <f>IF(ISBLANK(Prices!AN65),"",Prices!AN65)</f>
        <v/>
      </c>
      <c r="AO67" s="1" t="str">
        <f>IF(ISBLANK(Prices!AO65),"",Prices!AO65)</f>
        <v/>
      </c>
      <c r="AP67" s="1" t="str">
        <f>IF(ISBLANK(Prices!AP65),"",Prices!AP65)</f>
        <v/>
      </c>
      <c r="AQ67" s="1" t="str">
        <f>IF(ISBLANK(Prices!AQ65),"",Prices!AQ65)</f>
        <v/>
      </c>
      <c r="AR67" s="1" t="str">
        <f>IF(ISBLANK(Prices!AR65),"",Prices!AR65)</f>
        <v/>
      </c>
      <c r="AS67" s="1" t="str">
        <f>IF(ISBLANK(Prices!AS65),"",Prices!AS65)</f>
        <v/>
      </c>
      <c r="AT67" s="1" t="str">
        <f>IF(ISBLANK(Prices!AT65),"",Prices!AT65)</f>
        <v/>
      </c>
      <c r="AU67" s="1" t="str">
        <f>IF(ISBLANK(Prices!AU65),"",Prices!AU65)</f>
        <v/>
      </c>
      <c r="AV67" s="1" t="str">
        <f>IF(ISBLANK(Prices!AV65),"",Prices!AV65)</f>
        <v/>
      </c>
      <c r="AW67" s="1" t="str">
        <f>IF(ISBLANK(Prices!AW65),"",Prices!AW65)</f>
        <v/>
      </c>
      <c r="AX67" s="1" t="str">
        <f>IF(ISBLANK(Prices!AX65),"",Prices!AX65)</f>
        <v/>
      </c>
      <c r="AY67" s="1" t="str">
        <f>IF(ISBLANK(Prices!AY65),"",Prices!AY65)</f>
        <v/>
      </c>
      <c r="AZ67" s="1" t="str">
        <f>IF(ISBLANK(Prices!AZ65),"",Prices!AZ65)</f>
        <v/>
      </c>
      <c r="BA67" s="1" t="str">
        <f>IF(ISBLANK(Prices!BA65),"",Prices!BA65)</f>
        <v/>
      </c>
      <c r="BB67" s="1" t="str">
        <f>IF(ISBLANK(Prices!BB65),"",Prices!BB65)</f>
        <v/>
      </c>
      <c r="BC67" s="1" t="str">
        <f>IF(ISBLANK(Prices!BC65),"",Prices!BC65)</f>
        <v/>
      </c>
      <c r="BD67" s="1" t="str">
        <f>IF(ISBLANK(Prices!BD65),"",Prices!BD65)</f>
        <v/>
      </c>
      <c r="BE67" s="1" t="str">
        <f>IF(ISBLANK(Prices!BE65),"",Prices!BE65)</f>
        <v/>
      </c>
      <c r="BF67" s="1" t="str">
        <f>IF(ISBLANK(Prices!BF65),"",Prices!BF65)</f>
        <v/>
      </c>
      <c r="BG67" s="1" t="str">
        <f>IF(ISBLANK(Prices!BG65),"",Prices!BG65)</f>
        <v/>
      </c>
      <c r="BH67" s="1" t="str">
        <f>IF(ISBLANK(Prices!BH65),"",Prices!BH65)</f>
        <v/>
      </c>
      <c r="BI67" s="1" t="str">
        <f>IF(ISBLANK(Prices!BI65),"",Prices!BI65)</f>
        <v/>
      </c>
      <c r="BJ67" s="1" t="str">
        <f>IF(ISBLANK(Prices!BJ65),"",Prices!BJ65)</f>
        <v/>
      </c>
      <c r="BK67" s="1" t="str">
        <f>IF(ISBLANK(Prices!BK65),"",Prices!BK65)</f>
        <v/>
      </c>
      <c r="BL67" s="1" t="str">
        <f>IF(ISBLANK(Prices!BL65),"",Prices!BL65)</f>
        <v/>
      </c>
      <c r="BM67" s="1" t="str">
        <f>IF(ISBLANK(Prices!BM65),"",Prices!BM65)</f>
        <v/>
      </c>
      <c r="BN67" s="1" t="str">
        <f>IF(ISBLANK(Prices!BN65),"",Prices!BN65)</f>
        <v/>
      </c>
      <c r="BO67" s="1" t="str">
        <f>IF(ISBLANK(Prices!BO65),"",Prices!BO65)</f>
        <v/>
      </c>
      <c r="BP67" s="1" t="str">
        <f>IF(ISBLANK(Prices!BP65),"",Prices!BP65)</f>
        <v/>
      </c>
      <c r="BQ67" s="1" t="str">
        <f>IF(ISBLANK(Prices!BQ65),"",Prices!BQ65)</f>
        <v/>
      </c>
      <c r="BR67" s="1" t="str">
        <f>IF(ISBLANK(Prices!BR65),"",Prices!BR65)</f>
        <v/>
      </c>
      <c r="BS67" s="1" t="str">
        <f>IF(ISBLANK(Prices!BS65),"",Prices!BS65)</f>
        <v/>
      </c>
      <c r="BT67" s="1" t="str">
        <f>IF(ISBLANK(Prices!BT65),"",Prices!BT65)</f>
        <v/>
      </c>
      <c r="BU67" s="1" t="str">
        <f>IF(ISBLANK(Prices!BU65),"",Prices!BU65)</f>
        <v/>
      </c>
      <c r="BV67" s="1" t="str">
        <f>IF(ISBLANK(Prices!BV65),"",Prices!BV65)</f>
        <v/>
      </c>
      <c r="BW67" s="1" t="str">
        <f>IF(ISBLANK(Prices!BW65),"",Prices!BW65)</f>
        <v/>
      </c>
      <c r="BX67" s="1" t="str">
        <f>IF(ISBLANK(Prices!BX65),"",Prices!BX65)</f>
        <v/>
      </c>
      <c r="BY67" s="1" t="str">
        <f>IF(ISBLANK(Prices!BY65),"",Prices!BY65)</f>
        <v/>
      </c>
      <c r="BZ67" s="1" t="str">
        <f>IF(ISBLANK(Prices!BZ65),"",Prices!BZ65)</f>
        <v/>
      </c>
      <c r="CA67" s="1" t="str">
        <f>IF(ISBLANK(Prices!CA65),"",Prices!CA65)</f>
        <v/>
      </c>
      <c r="CB67" s="1" t="str">
        <f>IF(ISBLANK(Prices!CB65),"",Prices!CB65)</f>
        <v/>
      </c>
      <c r="CC67" s="1" t="str">
        <f>IF(ISBLANK(Prices!CC65),"",Prices!CC65)</f>
        <v/>
      </c>
      <c r="CD67" s="1" t="str">
        <f>IF(ISBLANK(Prices!CD65),"",Prices!CD65)</f>
        <v/>
      </c>
      <c r="CE67" s="1" t="str">
        <f>IF(ISBLANK(Prices!CE65),"",Prices!CE65)</f>
        <v/>
      </c>
      <c r="CF67" s="1" t="str">
        <f>IF(ISBLANK(Prices!CF65),"",Prices!CF65)</f>
        <v/>
      </c>
      <c r="CG67" s="1" t="str">
        <f>IF(ISBLANK(Prices!CG65),"",Prices!CG65)</f>
        <v/>
      </c>
      <c r="CH67" s="1" t="str">
        <f>IF(ISBLANK(Prices!CH65),"",Prices!CH65)</f>
        <v/>
      </c>
      <c r="CI67" s="1" t="str">
        <f>IF(ISBLANK(Prices!CI65),"",Prices!CI65)</f>
        <v/>
      </c>
      <c r="CJ67" s="1" t="str">
        <f>IF(ISBLANK(Prices!CJ65),"",Prices!CJ65)</f>
        <v/>
      </c>
      <c r="CK67" s="1" t="str">
        <f>IF(ISBLANK(Prices!CK65),"",Prices!CK65)</f>
        <v/>
      </c>
      <c r="CL67" s="1" t="str">
        <f>IF(ISBLANK(Prices!CL65),"",Prices!CL65)</f>
        <v/>
      </c>
      <c r="CM67" s="1" t="str">
        <f>IF(ISBLANK(Prices!CM65),"",Prices!CM65)</f>
        <v/>
      </c>
      <c r="CN67" s="1" t="str">
        <f>IF(ISBLANK(Prices!CN65),"",Prices!CN65)</f>
        <v/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Button1_Click">
                <anchor moveWithCells="1">
                  <from>
                    <xdr:col>0</xdr:col>
                    <xdr:colOff>285750</xdr:colOff>
                    <xdr:row>2</xdr:row>
                    <xdr:rowOff>114300</xdr:rowOff>
                  </from>
                  <to>
                    <xdr:col>0</xdr:col>
                    <xdr:colOff>828675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1:I7"/>
  <sheetViews>
    <sheetView workbookViewId="0">
      <selection activeCell="F2" sqref="F2"/>
    </sheetView>
  </sheetViews>
  <sheetFormatPr defaultRowHeight="15" x14ac:dyDescent="0.25"/>
  <cols>
    <col min="3" max="3" width="21" bestFit="1" customWidth="1"/>
  </cols>
  <sheetData>
    <row r="1" spans="3:9" x14ac:dyDescent="0.25">
      <c r="F1">
        <v>2.3000000000000001E-4</v>
      </c>
      <c r="G1" t="s">
        <v>7</v>
      </c>
      <c r="I1" t="s">
        <v>8</v>
      </c>
    </row>
    <row r="2" spans="3:9" x14ac:dyDescent="0.25">
      <c r="C2" t="str">
        <f>Prices!A2</f>
        <v>OANDA_EURUSD</v>
      </c>
      <c r="D2">
        <f>Prices!D2</f>
        <v>1.2955700000000001</v>
      </c>
      <c r="F2">
        <f>F$1*D2</f>
        <v>2.9798110000000004E-4</v>
      </c>
      <c r="G2">
        <v>1E-4</v>
      </c>
      <c r="H2">
        <f>F2/G2</f>
        <v>2.9798110000000002</v>
      </c>
      <c r="I2">
        <f>ROUND(H2,0)</f>
        <v>3</v>
      </c>
    </row>
    <row r="3" spans="3:9" x14ac:dyDescent="0.25">
      <c r="C3" s="1">
        <f>Prices!A3</f>
        <v>0</v>
      </c>
      <c r="D3" s="1">
        <f>Prices!D3</f>
        <v>0</v>
      </c>
      <c r="F3" s="1">
        <f t="shared" ref="F3:F7" si="0">F$1*D3</f>
        <v>0</v>
      </c>
      <c r="G3">
        <v>1E-4</v>
      </c>
      <c r="H3" s="1">
        <f t="shared" ref="H3:H7" si="1">F3/G3</f>
        <v>0</v>
      </c>
      <c r="I3" s="1">
        <f t="shared" ref="I3:I7" si="2">ROUND(H3,0)</f>
        <v>0</v>
      </c>
    </row>
    <row r="4" spans="3:9" x14ac:dyDescent="0.25">
      <c r="C4" s="1">
        <f>Prices!A4</f>
        <v>0</v>
      </c>
      <c r="D4" s="1">
        <f>Prices!D4</f>
        <v>0</v>
      </c>
      <c r="F4" s="1">
        <f t="shared" si="0"/>
        <v>0</v>
      </c>
      <c r="G4">
        <v>0.01</v>
      </c>
      <c r="H4" s="1">
        <f t="shared" si="1"/>
        <v>0</v>
      </c>
      <c r="I4" s="1">
        <f t="shared" si="2"/>
        <v>0</v>
      </c>
    </row>
    <row r="5" spans="3:9" x14ac:dyDescent="0.25">
      <c r="C5" s="1">
        <f>Prices!A5</f>
        <v>0</v>
      </c>
      <c r="D5" s="1">
        <f>Prices!D5</f>
        <v>0</v>
      </c>
      <c r="F5" s="1">
        <f t="shared" si="0"/>
        <v>0</v>
      </c>
      <c r="G5">
        <v>1E-4</v>
      </c>
      <c r="H5" s="1">
        <f t="shared" si="1"/>
        <v>0</v>
      </c>
      <c r="I5" s="1">
        <f t="shared" si="2"/>
        <v>0</v>
      </c>
    </row>
    <row r="6" spans="3:9" x14ac:dyDescent="0.25">
      <c r="C6" s="1">
        <f>Prices!A6</f>
        <v>0</v>
      </c>
      <c r="D6" s="1">
        <f>Prices!D6</f>
        <v>0</v>
      </c>
      <c r="F6" s="1">
        <f t="shared" si="0"/>
        <v>0</v>
      </c>
      <c r="G6">
        <v>0.01</v>
      </c>
      <c r="H6" s="1">
        <f t="shared" si="1"/>
        <v>0</v>
      </c>
      <c r="I6" s="1">
        <f t="shared" si="2"/>
        <v>0</v>
      </c>
    </row>
    <row r="7" spans="3:9" x14ac:dyDescent="0.25">
      <c r="C7" s="1">
        <f>Prices!A7</f>
        <v>0</v>
      </c>
      <c r="D7" s="1">
        <f>Prices!D7</f>
        <v>0</v>
      </c>
      <c r="F7" s="1">
        <f t="shared" si="0"/>
        <v>0</v>
      </c>
      <c r="G7">
        <v>0.01</v>
      </c>
      <c r="H7" s="1">
        <f t="shared" si="1"/>
        <v>0</v>
      </c>
      <c r="I7" s="1">
        <f t="shared" si="2"/>
        <v>0</v>
      </c>
    </row>
  </sheetData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"/>
  <sheetViews>
    <sheetView workbookViewId="0">
      <selection activeCell="A2" sqref="A2:A4"/>
    </sheetView>
  </sheetViews>
  <sheetFormatPr defaultRowHeight="15" x14ac:dyDescent="0.25"/>
  <cols>
    <col min="2" max="2" width="11.85546875" bestFit="1" customWidth="1"/>
    <col min="3" max="3" width="12.28515625" bestFit="1" customWidth="1"/>
    <col min="4" max="4" width="15.28515625" bestFit="1" customWidth="1"/>
    <col min="5" max="5" width="15.85546875" bestFit="1" customWidth="1"/>
    <col min="6" max="6" width="54.42578125" customWidth="1"/>
  </cols>
  <sheetData>
    <row r="1" spans="1:6" x14ac:dyDescent="0.25">
      <c r="B1" s="1" t="s">
        <v>17</v>
      </c>
      <c r="C1" s="1" t="s">
        <v>18</v>
      </c>
      <c r="D1" s="1" t="s">
        <v>9</v>
      </c>
      <c r="E1" s="1" t="s">
        <v>11</v>
      </c>
      <c r="F1" s="1" t="s">
        <v>12</v>
      </c>
    </row>
    <row r="2" spans="1:6" x14ac:dyDescent="0.25">
      <c r="A2" t="s">
        <v>19</v>
      </c>
      <c r="B2" s="1" t="b">
        <v>0</v>
      </c>
      <c r="C2" s="1" t="b">
        <v>0</v>
      </c>
      <c r="D2" s="1" t="s">
        <v>14</v>
      </c>
      <c r="E2" s="1" t="s">
        <v>15</v>
      </c>
      <c r="F2" s="1" t="s">
        <v>16</v>
      </c>
    </row>
    <row r="3" spans="1:6" x14ac:dyDescent="0.25">
      <c r="A3" s="1" t="s">
        <v>26</v>
      </c>
      <c r="B3" s="1" t="b">
        <v>0</v>
      </c>
      <c r="C3" s="1" t="b">
        <v>0</v>
      </c>
      <c r="D3" s="1" t="s">
        <v>14</v>
      </c>
      <c r="E3" s="1" t="s">
        <v>15</v>
      </c>
      <c r="F3" s="1" t="s">
        <v>16</v>
      </c>
    </row>
    <row r="4" spans="1:6" x14ac:dyDescent="0.25">
      <c r="A4" t="s">
        <v>27</v>
      </c>
      <c r="B4" s="1" t="b">
        <v>0</v>
      </c>
      <c r="C4" s="1" t="b">
        <v>0</v>
      </c>
      <c r="D4" s="1" t="s">
        <v>14</v>
      </c>
      <c r="E4" s="1" t="s">
        <v>15</v>
      </c>
      <c r="F4" s="1" t="s">
        <v>16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5"/>
  <sheetViews>
    <sheetView tabSelected="1" workbookViewId="0">
      <selection activeCell="G5" sqref="G5"/>
    </sheetView>
  </sheetViews>
  <sheetFormatPr defaultRowHeight="15" x14ac:dyDescent="0.25"/>
  <cols>
    <col min="1" max="1" width="10.7109375" bestFit="1" customWidth="1"/>
    <col min="2" max="2" width="11.85546875" bestFit="1" customWidth="1"/>
    <col min="3" max="3" width="12.28515625" bestFit="1" customWidth="1"/>
    <col min="4" max="4" width="15.28515625" bestFit="1" customWidth="1"/>
    <col min="5" max="5" width="15.85546875" bestFit="1" customWidth="1"/>
    <col min="6" max="6" width="43.85546875" bestFit="1" customWidth="1"/>
    <col min="7" max="7" width="8.28515625" bestFit="1" customWidth="1"/>
    <col min="8" max="8" width="11" bestFit="1" customWidth="1"/>
    <col min="9" max="9" width="36.140625" customWidth="1"/>
  </cols>
  <sheetData>
    <row r="1" spans="1:9" x14ac:dyDescent="0.25">
      <c r="B1" t="s">
        <v>17</v>
      </c>
      <c r="C1" t="s">
        <v>18</v>
      </c>
      <c r="D1" t="s">
        <v>9</v>
      </c>
      <c r="E1" t="s">
        <v>11</v>
      </c>
      <c r="F1" t="s">
        <v>12</v>
      </c>
      <c r="G1" t="s">
        <v>13</v>
      </c>
      <c r="H1" t="s">
        <v>10</v>
      </c>
      <c r="I1" t="s">
        <v>20</v>
      </c>
    </row>
    <row r="2" spans="1:9" x14ac:dyDescent="0.25">
      <c r="A2" t="s">
        <v>14</v>
      </c>
      <c r="B2" t="b">
        <v>0</v>
      </c>
      <c r="C2" t="b">
        <v>0</v>
      </c>
      <c r="D2" t="s">
        <v>14</v>
      </c>
      <c r="E2" t="s">
        <v>15</v>
      </c>
      <c r="F2" t="s">
        <v>16</v>
      </c>
      <c r="G2">
        <v>1</v>
      </c>
      <c r="H2">
        <v>9.9000000000000002E-13</v>
      </c>
      <c r="I2" t="s">
        <v>28</v>
      </c>
    </row>
    <row r="3" spans="1:9" x14ac:dyDescent="0.25">
      <c r="A3" t="s">
        <v>26</v>
      </c>
      <c r="B3" t="b">
        <v>0</v>
      </c>
      <c r="C3" t="b">
        <v>0</v>
      </c>
      <c r="D3" t="s">
        <v>14</v>
      </c>
      <c r="E3" t="s">
        <v>15</v>
      </c>
      <c r="F3" t="s">
        <v>16</v>
      </c>
      <c r="G3">
        <v>1</v>
      </c>
      <c r="H3">
        <v>9.9000000000000002E-13</v>
      </c>
      <c r="I3" t="s">
        <v>28</v>
      </c>
    </row>
    <row r="4" spans="1:9" x14ac:dyDescent="0.25">
      <c r="A4" t="s">
        <v>19</v>
      </c>
      <c r="B4" t="b">
        <v>0</v>
      </c>
      <c r="C4" t="b">
        <v>0</v>
      </c>
      <c r="D4" t="s">
        <v>14</v>
      </c>
      <c r="E4" t="s">
        <v>15</v>
      </c>
      <c r="F4" t="s">
        <v>16</v>
      </c>
      <c r="G4">
        <v>1</v>
      </c>
      <c r="H4">
        <v>9.9000000000000002E-13</v>
      </c>
    </row>
    <row r="5" spans="1:9" x14ac:dyDescent="0.25">
      <c r="A5" t="s">
        <v>27</v>
      </c>
      <c r="B5" t="b">
        <v>0</v>
      </c>
      <c r="C5" t="b">
        <v>0</v>
      </c>
      <c r="D5" t="s">
        <v>14</v>
      </c>
      <c r="E5" t="s">
        <v>15</v>
      </c>
      <c r="F5" t="s">
        <v>16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P7"/>
  <sheetViews>
    <sheetView workbookViewId="0">
      <selection activeCell="C4" sqref="C4"/>
    </sheetView>
  </sheetViews>
  <sheetFormatPr defaultRowHeight="15" x14ac:dyDescent="0.25"/>
  <cols>
    <col min="1" max="1" width="21" style="12" bestFit="1" customWidth="1"/>
    <col min="2" max="2" width="23.5703125" style="12" bestFit="1" customWidth="1"/>
    <col min="3" max="3" width="11.140625" style="12" bestFit="1" customWidth="1"/>
    <col min="4" max="4" width="9.7109375" style="12" bestFit="1" customWidth="1"/>
    <col min="5" max="5" width="11.42578125" style="12" bestFit="1" customWidth="1"/>
    <col min="6" max="6" width="10" style="12" bestFit="1" customWidth="1"/>
    <col min="7" max="7" width="11.140625" style="12" bestFit="1" customWidth="1"/>
    <col min="8" max="8" width="9.7109375" style="12" bestFit="1" customWidth="1"/>
    <col min="9" max="9" width="11.28515625" style="12" bestFit="1" customWidth="1"/>
    <col min="10" max="10" width="10" style="12" bestFit="1" customWidth="1"/>
    <col min="11" max="11" width="11.140625" style="12" bestFit="1" customWidth="1"/>
    <col min="12" max="12" width="9.7109375" style="12" bestFit="1" customWidth="1"/>
    <col min="13" max="13" width="11.28515625" style="12" bestFit="1" customWidth="1"/>
    <col min="14" max="14" width="10" style="12" bestFit="1" customWidth="1"/>
    <col min="15" max="15" width="11.140625" style="12" bestFit="1" customWidth="1"/>
    <col min="16" max="16" width="9.7109375" style="12" bestFit="1" customWidth="1"/>
    <col min="17" max="17" width="11.42578125" style="12" bestFit="1" customWidth="1"/>
    <col min="18" max="18" width="10" style="12" bestFit="1" customWidth="1"/>
    <col min="19" max="19" width="11.140625" style="12" bestFit="1" customWidth="1"/>
    <col min="20" max="20" width="9.7109375" style="12" bestFit="1" customWidth="1"/>
    <col min="21" max="21" width="11.42578125" style="12" bestFit="1" customWidth="1"/>
    <col min="22" max="22" width="10" style="12" bestFit="1" customWidth="1"/>
    <col min="23" max="23" width="11.140625" style="12" bestFit="1" customWidth="1"/>
    <col min="24" max="24" width="9.7109375" style="12" bestFit="1" customWidth="1"/>
    <col min="25" max="25" width="11.28515625" style="12" bestFit="1" customWidth="1"/>
    <col min="26" max="26" width="10" style="12" bestFit="1" customWidth="1"/>
    <col min="27" max="27" width="11.140625" style="12" bestFit="1" customWidth="1"/>
    <col min="28" max="28" width="9.7109375" style="12" bestFit="1" customWidth="1"/>
    <col min="29" max="29" width="11.42578125" style="12" bestFit="1" customWidth="1"/>
    <col min="30" max="30" width="10" style="12" bestFit="1" customWidth="1"/>
    <col min="31" max="31" width="11.140625" style="12" bestFit="1" customWidth="1"/>
    <col min="32" max="32" width="9.7109375" style="12" bestFit="1" customWidth="1"/>
    <col min="33" max="33" width="11.42578125" style="12" bestFit="1" customWidth="1"/>
    <col min="34" max="34" width="10" style="12" bestFit="1" customWidth="1"/>
    <col min="35" max="35" width="11.140625" style="12" bestFit="1" customWidth="1"/>
    <col min="36" max="36" width="9.7109375" style="12" bestFit="1" customWidth="1"/>
    <col min="37" max="37" width="11.42578125" style="12" bestFit="1" customWidth="1"/>
    <col min="38" max="38" width="10" style="12" bestFit="1" customWidth="1"/>
    <col min="39" max="39" width="11.140625" style="12" bestFit="1" customWidth="1"/>
    <col min="40" max="40" width="9.7109375" style="12" bestFit="1" customWidth="1"/>
    <col min="41" max="41" width="11.28515625" style="12" bestFit="1" customWidth="1"/>
    <col min="42" max="42" width="10" style="12" bestFit="1" customWidth="1"/>
    <col min="43" max="16384" width="9.140625" style="12"/>
  </cols>
  <sheetData>
    <row r="1" spans="1:42" x14ac:dyDescent="0.25">
      <c r="A1" s="2"/>
      <c r="B1" s="2" t="s">
        <v>21</v>
      </c>
      <c r="C1" s="3" t="s">
        <v>22</v>
      </c>
      <c r="D1" s="3" t="s">
        <v>23</v>
      </c>
      <c r="E1" s="3" t="s">
        <v>24</v>
      </c>
      <c r="F1" s="3" t="s">
        <v>25</v>
      </c>
      <c r="G1" s="4"/>
      <c r="H1" s="4"/>
      <c r="I1" s="4"/>
      <c r="J1" s="4"/>
      <c r="K1" s="5"/>
      <c r="L1" s="5"/>
      <c r="M1" s="5"/>
      <c r="N1" s="5"/>
      <c r="O1" s="10"/>
      <c r="P1" s="10"/>
      <c r="Q1" s="10"/>
      <c r="R1" s="10"/>
      <c r="S1" s="6"/>
      <c r="T1" s="6"/>
      <c r="U1" s="6"/>
      <c r="V1" s="6"/>
      <c r="W1" s="2"/>
      <c r="X1" s="2"/>
      <c r="Y1" s="2"/>
      <c r="Z1" s="2"/>
      <c r="AA1" s="7"/>
      <c r="AB1" s="7"/>
      <c r="AC1" s="7"/>
      <c r="AD1" s="7"/>
      <c r="AE1" s="8"/>
      <c r="AF1" s="8"/>
      <c r="AG1" s="8"/>
      <c r="AH1" s="8"/>
      <c r="AI1" s="9"/>
      <c r="AJ1" s="9"/>
      <c r="AK1" s="9"/>
      <c r="AL1" s="9"/>
      <c r="AM1" s="3"/>
      <c r="AN1" s="3"/>
      <c r="AO1" s="3"/>
      <c r="AP1" s="3"/>
    </row>
    <row r="2" spans="1:42" x14ac:dyDescent="0.25">
      <c r="A2" s="2" t="s">
        <v>15</v>
      </c>
      <c r="B2" s="2" t="s">
        <v>29</v>
      </c>
      <c r="C2" s="3">
        <v>1</v>
      </c>
      <c r="D2" s="3">
        <v>1.2955700000000001</v>
      </c>
      <c r="E2" s="3">
        <v>1</v>
      </c>
      <c r="F2" s="3">
        <v>1.2957000000000001</v>
      </c>
      <c r="G2" s="4"/>
      <c r="H2" s="4"/>
      <c r="I2" s="4"/>
      <c r="J2" s="4"/>
      <c r="K2" s="5"/>
      <c r="L2" s="5"/>
      <c r="M2" s="5"/>
      <c r="N2" s="5"/>
      <c r="O2" s="10"/>
      <c r="P2" s="10"/>
      <c r="Q2" s="10"/>
      <c r="R2" s="10"/>
      <c r="S2" s="6"/>
      <c r="T2" s="6"/>
      <c r="U2" s="6"/>
      <c r="V2" s="6"/>
      <c r="W2" s="2"/>
      <c r="X2" s="2"/>
      <c r="Y2" s="2"/>
      <c r="Z2" s="2"/>
      <c r="AA2" s="7"/>
      <c r="AB2" s="7"/>
      <c r="AC2" s="7"/>
      <c r="AD2" s="7"/>
      <c r="AE2" s="8"/>
      <c r="AF2" s="8"/>
      <c r="AG2" s="8"/>
      <c r="AH2" s="8"/>
      <c r="AI2" s="9"/>
      <c r="AJ2" s="9"/>
      <c r="AK2" s="9"/>
      <c r="AL2" s="9"/>
      <c r="AM2" s="3"/>
      <c r="AN2" s="3"/>
      <c r="AO2" s="3"/>
      <c r="AP2" s="3"/>
    </row>
    <row r="3" spans="1:42" x14ac:dyDescent="0.25">
      <c r="A3" s="2"/>
      <c r="B3" s="2"/>
      <c r="C3" s="2"/>
      <c r="D3" s="2"/>
      <c r="E3" s="2"/>
      <c r="F3" s="2"/>
    </row>
    <row r="4" spans="1:42" x14ac:dyDescent="0.25">
      <c r="A4" s="2"/>
      <c r="B4" s="2"/>
      <c r="C4" s="2"/>
      <c r="D4" s="2"/>
      <c r="E4" s="2"/>
      <c r="F4" s="2"/>
    </row>
    <row r="5" spans="1:42" x14ac:dyDescent="0.25">
      <c r="A5" s="2"/>
      <c r="B5" s="2"/>
      <c r="C5" s="2"/>
    </row>
    <row r="6" spans="1:42" x14ac:dyDescent="0.25">
      <c r="A6" s="2"/>
    </row>
    <row r="7" spans="1:42" x14ac:dyDescent="0.25">
      <c r="A7" s="2"/>
    </row>
  </sheetData>
  <pageMargins left="0.7" right="0.7" top="0.75" bottom="0.75" header="0.3" footer="0.3"/>
  <pageSetup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opLeftCell="A4" workbookViewId="0">
      <selection activeCell="F7" sqref="F7"/>
    </sheetView>
  </sheetViews>
  <sheetFormatPr defaultRowHeight="15" x14ac:dyDescent="0.25"/>
  <cols>
    <col min="1" max="1" width="18.2851562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orderbook</vt:lpstr>
      <vt:lpstr>MD_check</vt:lpstr>
      <vt:lpstr>Sheet2</vt:lpstr>
      <vt:lpstr>Settings</vt:lpstr>
      <vt:lpstr>Reports</vt:lpstr>
      <vt:lpstr>Prices</vt:lpstr>
      <vt:lpstr>Positions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emiliano</dc:creator>
  <cp:lastModifiedBy>h</cp:lastModifiedBy>
  <dcterms:created xsi:type="dcterms:W3CDTF">2014-07-16T18:38:22Z</dcterms:created>
  <dcterms:modified xsi:type="dcterms:W3CDTF">2014-09-17T15:12:13Z</dcterms:modified>
</cp:coreProperties>
</file>
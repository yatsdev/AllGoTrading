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 activeTab="4"/>
  </bookViews>
  <sheets>
    <sheet name="PriceData" sheetId="1" r:id="rId1"/>
    <sheet name="orderbook" sheetId="4" r:id="rId2"/>
    <sheet name="MD_check" sheetId="2" r:id="rId3"/>
    <sheet name="Reports" sheetId="7" r:id="rId4"/>
    <sheet name="Positions" sheetId="8" r:id="rId5"/>
    <sheet name="Sheet2" sheetId="9" r:id="rId6"/>
  </sheets>
  <functionGroups builtInGroupCount="17"/>
  <calcPr calcId="14562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D5" i="4"/>
  <c r="D6" i="4"/>
  <c r="E10" i="4"/>
  <c r="F10" i="4"/>
  <c r="G4" i="4"/>
  <c r="G6" i="4"/>
  <c r="D4" i="4"/>
  <c r="G5" i="4"/>
  <c r="G9" i="4"/>
  <c r="F4" i="4"/>
  <c r="E11" i="4"/>
  <c r="E4" i="4"/>
  <c r="G12" i="4"/>
  <c r="F6" i="4"/>
  <c r="E7" i="4"/>
  <c r="D7" i="4"/>
  <c r="D13" i="4"/>
  <c r="D12" i="4"/>
  <c r="G10" i="4"/>
  <c r="E5" i="4"/>
  <c r="D11" i="4"/>
  <c r="E13" i="4"/>
  <c r="G8" i="4"/>
  <c r="E1" i="4"/>
  <c r="D10" i="4"/>
  <c r="G7" i="4"/>
  <c r="F8" i="4"/>
  <c r="D8" i="4"/>
  <c r="F11" i="4"/>
  <c r="E8" i="4"/>
  <c r="F7" i="4"/>
  <c r="F13" i="4"/>
  <c r="F9" i="4"/>
  <c r="F5" i="4"/>
  <c r="C2" i="4"/>
  <c r="D9" i="4"/>
  <c r="E9" i="4"/>
  <c r="G11" i="4"/>
  <c r="F12" i="4"/>
  <c r="G13" i="4"/>
  <c r="E6" i="4"/>
  <c r="E12" i="4"/>
</calcChain>
</file>

<file path=xl/sharedStrings.xml><?xml version="1.0" encoding="utf-8"?>
<sst xmlns="http://schemas.openxmlformats.org/spreadsheetml/2006/main" count="164" uniqueCount="161">
  <si>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</si>
  <si>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</si>
  <si>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</si>
  <si>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</si>
  <si>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</si>
  <si>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</si>
  <si>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</si>
  <si>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</si>
  <si>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</si>
  <si>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</si>
  <si>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</si>
  <si>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</si>
  <si>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</si>
  <si>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</si>
  <si>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</si>
  <si>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</si>
  <si>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</si>
  <si>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</si>
  <si>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</si>
  <si>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</si>
  <si>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</si>
  <si>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</si>
  <si>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</si>
  <si>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</si>
  <si>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</si>
  <si>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</si>
  <si>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</si>
  <si>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</si>
  <si>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</si>
  <si>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</si>
  <si>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</si>
  <si>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</si>
  <si>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</si>
  <si>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</si>
  <si>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</si>
  <si>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</si>
  <si>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</si>
  <si>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</si>
  <si>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</si>
  <si>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</si>
  <si>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</si>
  <si>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</si>
  <si>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</si>
  <si>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bidSize</t>
  </si>
  <si>
    <t>bid</t>
  </si>
  <si>
    <t>ask</t>
  </si>
  <si>
    <t>askSize</t>
  </si>
  <si>
    <t>row</t>
  </si>
  <si>
    <t>product row:</t>
  </si>
  <si>
    <t>lastStep</t>
  </si>
  <si>
    <t>Scalper_EURUSD</t>
  </si>
  <si>
    <t>averageOrderSize</t>
  </si>
  <si>
    <t>TEST_OANDA_EURUSD</t>
  </si>
  <si>
    <t>TEST_OANDA_EURGBP</t>
  </si>
  <si>
    <t>TEST_OANDA_EURJPY</t>
  </si>
  <si>
    <t>TEST_OANDA_GBPUSD</t>
  </si>
  <si>
    <t>TEST_OANDA_GBPJPY</t>
  </si>
  <si>
    <t>TEST_OANDA_USDJPY</t>
  </si>
  <si>
    <t>tick</t>
  </si>
  <si>
    <t>stepSize</t>
  </si>
  <si>
    <t>orderRoundtripTime</t>
  </si>
  <si>
    <t>Scalper_XAGUSD</t>
  </si>
  <si>
    <t>maxUsedPositionSize</t>
  </si>
  <si>
    <t>Scalper_GBPZAR</t>
  </si>
  <si>
    <t>Scalper_XAUCAD</t>
  </si>
  <si>
    <t>Scalper_XAGSGD</t>
  </si>
  <si>
    <t>Scalper_XAUHKD</t>
  </si>
  <si>
    <t>Scalper_EURGBP</t>
  </si>
  <si>
    <t>Scalper_XAUGBP</t>
  </si>
  <si>
    <t>Scalper_USDSEK</t>
  </si>
  <si>
    <t>Scalper_AUDSGD</t>
  </si>
  <si>
    <t>Scalper_USDHUF</t>
  </si>
  <si>
    <t>Scalper_EURZAR</t>
  </si>
  <si>
    <t>Scalper_BCOUSD</t>
  </si>
  <si>
    <t>Scalper_GBPCHF</t>
  </si>
  <si>
    <t>Scalper_EURSGD</t>
  </si>
  <si>
    <t>Scalper_EURHUF</t>
  </si>
  <si>
    <t>Scalper_NZDCAD</t>
  </si>
  <si>
    <t>Scalper_USDCHF</t>
  </si>
  <si>
    <t>Scalper_XAGJPY</t>
  </si>
  <si>
    <t>Scalper_USDSAR</t>
  </si>
  <si>
    <t>Scalper_SGDHKD</t>
  </si>
  <si>
    <t>Scalper_XAGCAD</t>
  </si>
  <si>
    <t>Scalper_GBPCAD</t>
  </si>
  <si>
    <t>Scalper_XAUXAG</t>
  </si>
  <si>
    <t>Scalper_GBPPLN</t>
  </si>
  <si>
    <t>Scalper_HKDJPY</t>
  </si>
  <si>
    <t>Scalper_SGDJPY</t>
  </si>
  <si>
    <t>Scalper_GBPAUD</t>
  </si>
  <si>
    <t>Scalper_AUDNZD</t>
  </si>
  <si>
    <t>Scalper_XAGGBP</t>
  </si>
  <si>
    <t>Scalper_XPDUSD</t>
  </si>
  <si>
    <t>Scalper_USDMXN</t>
  </si>
  <si>
    <t>Scalper_EURAUD</t>
  </si>
  <si>
    <t>Scalper_USDINR</t>
  </si>
  <si>
    <t>Scalper_CADHKD</t>
  </si>
  <si>
    <t>Scalper_XAGAUD</t>
  </si>
  <si>
    <t>Scalper_CHFHKD</t>
  </si>
  <si>
    <t>Scalper_EURPLN</t>
  </si>
  <si>
    <t>Scalper_NZDUSD</t>
  </si>
  <si>
    <t>Scalper_USDDKK</t>
  </si>
  <si>
    <t>Scalper_NZDCHF</t>
  </si>
  <si>
    <t>Scalper_USDTHB</t>
  </si>
  <si>
    <t>Scalper_XAUSGD</t>
  </si>
  <si>
    <t>Scalper_TRYJPY</t>
  </si>
  <si>
    <t>Scalper_CADCHF</t>
  </si>
  <si>
    <t>Scalper_NZDHKD</t>
  </si>
  <si>
    <t>Scalper_USDCAD</t>
  </si>
  <si>
    <t>Scalper_CADJPY</t>
  </si>
  <si>
    <t>Scalper_USDTRY</t>
  </si>
  <si>
    <t>Scalper_USDCNY</t>
  </si>
  <si>
    <t>Scalper_XAGHKD</t>
  </si>
  <si>
    <t>Scalper_XAUUSD</t>
  </si>
  <si>
    <t>Scalper_ZARJPY</t>
  </si>
  <si>
    <t>Scalper_XAGCHF</t>
  </si>
  <si>
    <t>Scalper_USDSGD</t>
  </si>
  <si>
    <t>Scalper_EURCZK</t>
  </si>
  <si>
    <t>Scalper_EURDKK</t>
  </si>
  <si>
    <t>Scalper_XAUCHF</t>
  </si>
  <si>
    <t>Scalper_XAUJPY</t>
  </si>
  <si>
    <t>Scalper_USDJPY</t>
  </si>
  <si>
    <t>Scalper_AUDHKD</t>
  </si>
  <si>
    <t>Scalper_USDHKD</t>
  </si>
  <si>
    <t>Scalper_EURNZD</t>
  </si>
  <si>
    <t>Scalper_EURCAD</t>
  </si>
  <si>
    <t>Scalper_XAUAUD</t>
  </si>
  <si>
    <t>Scalper_AUDCAD</t>
  </si>
  <si>
    <t>Scalper_EURTRY</t>
  </si>
  <si>
    <t>Scalper_XAUEUR</t>
  </si>
  <si>
    <t>Scalper_GBPUSD</t>
  </si>
  <si>
    <t>Scalper_CHFJPY</t>
  </si>
  <si>
    <t>Scalper_EURJPY</t>
  </si>
  <si>
    <t>Scalper_EURNOK</t>
  </si>
  <si>
    <t>Scalper_XPTUSD</t>
  </si>
  <si>
    <t>Scalper_CHFZAR</t>
  </si>
  <si>
    <t>Scalper_EURHKD</t>
  </si>
  <si>
    <t>Scalper_USDPLN</t>
  </si>
  <si>
    <t>Scalper_XAUNZD</t>
  </si>
  <si>
    <t>Scalper_AUDCHF</t>
  </si>
  <si>
    <t>Scalper_GBPJPY</t>
  </si>
  <si>
    <t>Scalper_USDZAR</t>
  </si>
  <si>
    <t>Scalper_XAGEUR</t>
  </si>
  <si>
    <t>Scalper_GBPNZD</t>
  </si>
  <si>
    <t>Scalper_USDCZK</t>
  </si>
  <si>
    <t>Scalper_AUDJPY</t>
  </si>
  <si>
    <t>Scalper_NZDJPY</t>
  </si>
  <si>
    <t>Scalper_USDNOK</t>
  </si>
  <si>
    <t>Scalper_XAGNZD</t>
  </si>
  <si>
    <t>Scalper_GBPSGD</t>
  </si>
  <si>
    <t>Scalper_NZDSGD</t>
  </si>
  <si>
    <t>Scalper_EURSEK</t>
  </si>
  <si>
    <t>Scalper_XCUUSD</t>
  </si>
  <si>
    <t>Scalper_AUDUSD</t>
  </si>
  <si>
    <t>Scalper_SGDCHF</t>
  </si>
  <si>
    <t>Scalper_GBPHKD</t>
  </si>
  <si>
    <t>Scalper_EURCHF</t>
  </si>
  <si>
    <t>Scalper_USDTWD</t>
  </si>
  <si>
    <t>Scalper_CADSGD</t>
  </si>
  <si>
    <t>2014-09-05T20:59:58.392Z</t>
  </si>
  <si>
    <t>2014-09-05T20:59:58.391Z</t>
  </si>
  <si>
    <t>2014-09-05T20:59:58.496Z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</si>
</sst>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7"/>
  <sheetViews>
    <sheetView workbookViewId="0">
      <selection activeCell="F10" sqref="C2:F10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52</v>
      </c>
      <c r="B2" s="2" t="s">
        <v>158</v>
      </c>
      <c r="C2" s="3">
        <v>1</v>
      </c>
      <c r="D2" s="3">
        <v>1.2948500000000001</v>
      </c>
      <c r="E2" s="3">
        <v>1</v>
      </c>
      <c r="F2" s="3">
        <v>1.2954399999999999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53</v>
      </c>
      <c r="B3" s="2" t="s">
        <v>160</v>
      </c>
      <c r="C3" s="2">
        <v>1</v>
      </c>
      <c r="D3" s="2">
        <v>0.79303000000000001</v>
      </c>
      <c r="E3" s="2">
        <v>1</v>
      </c>
      <c r="F3" s="2">
        <v>0.79342999999999997</v>
      </c>
    </row>
    <row r="4" spans="1:42" x14ac:dyDescent="0.25">
      <c r="A4" s="2" t="s">
        <v>54</v>
      </c>
      <c r="B4" s="2" t="s">
        <v>159</v>
      </c>
      <c r="C4" s="2">
        <v>1</v>
      </c>
      <c r="D4" s="2">
        <v>136.09100000000001</v>
      </c>
      <c r="E4" s="2">
        <v>1</v>
      </c>
      <c r="F4" s="2">
        <v>136.13300000000001</v>
      </c>
    </row>
    <row r="5" spans="1:42" x14ac:dyDescent="0.25">
      <c r="A5" s="2" t="s">
        <v>55</v>
      </c>
      <c r="B5" s="2" t="s">
        <v>158</v>
      </c>
      <c r="C5" s="2">
        <v>1</v>
      </c>
      <c r="D5" s="12">
        <v>1.63225</v>
      </c>
      <c r="E5" s="12">
        <v>1</v>
      </c>
      <c r="F5" s="12">
        <v>1.6331500000000001</v>
      </c>
    </row>
    <row r="6" spans="1:42" x14ac:dyDescent="0.25">
      <c r="A6" s="2" t="s">
        <v>56</v>
      </c>
      <c r="B6" s="12" t="s">
        <v>159</v>
      </c>
      <c r="C6" s="12">
        <v>1</v>
      </c>
      <c r="D6" s="12">
        <v>171.53700000000001</v>
      </c>
      <c r="E6" s="12">
        <v>1</v>
      </c>
      <c r="F6" s="12">
        <v>171.619</v>
      </c>
    </row>
    <row r="7" spans="1:42" x14ac:dyDescent="0.25">
      <c r="A7" s="2" t="s">
        <v>57</v>
      </c>
      <c r="B7" s="12" t="s">
        <v>159</v>
      </c>
      <c r="C7" s="12">
        <v>1</v>
      </c>
      <c r="D7" s="12">
        <v>105.063</v>
      </c>
      <c r="E7" s="12">
        <v>1</v>
      </c>
      <c r="F7" s="12">
        <v>105.104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D7" sqref="D7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48</v>
      </c>
      <c r="C1" s="12">
        <v>2</v>
      </c>
      <c r="E1" s="1" t="str">
        <f ca="1">INDIRECT("PriceData!b"&amp;$C$1)</f>
        <v>2014-09-05T20:59:58.392Z</v>
      </c>
    </row>
    <row r="2" spans="2:7" x14ac:dyDescent="0.25">
      <c r="C2" s="14" t="str">
        <f ca="1">INDIRECT("PriceData!A"&amp;$C$1)</f>
        <v>TEST_OANDA_EURUSD</v>
      </c>
    </row>
    <row r="3" spans="2:7" x14ac:dyDescent="0.25">
      <c r="C3" s="13" t="s">
        <v>47</v>
      </c>
      <c r="D3" s="15" t="s">
        <v>43</v>
      </c>
      <c r="E3" s="16" t="s">
        <v>44</v>
      </c>
      <c r="F3" s="15" t="s">
        <v>45</v>
      </c>
      <c r="G3" s="15" t="s">
        <v>46</v>
      </c>
    </row>
    <row r="4" spans="2:7" x14ac:dyDescent="0.25">
      <c r="C4" s="13">
        <v>0</v>
      </c>
      <c r="D4" s="18">
        <f ca="1">INDIRECT("PriceData!c"&amp;$C$1)</f>
        <v>1</v>
      </c>
      <c r="E4" s="17">
        <f ca="1">INDIRECT("PriceData!d"&amp;C1)</f>
        <v>1.2948500000000001</v>
      </c>
      <c r="F4" s="19">
        <f ca="1">INDIRECT("PriceData!f"&amp;C1)</f>
        <v>1.2954399999999999</v>
      </c>
      <c r="G4" s="18">
        <f ca="1">INDIRECT("PriceData!e"&amp;C1)</f>
        <v>1</v>
      </c>
    </row>
    <row r="5" spans="2:7" x14ac:dyDescent="0.25">
      <c r="C5" s="13">
        <v>1</v>
      </c>
      <c r="D5" s="18">
        <f ca="1">INDIRECT("PriceData!g"&amp;C1)</f>
        <v>0</v>
      </c>
      <c r="E5" s="17">
        <f ca="1">INDIRECT("PriceData!h"&amp;C1)</f>
        <v>0</v>
      </c>
      <c r="F5" s="19">
        <f ca="1">INDIRECT("PriceData!j"&amp;C1)</f>
        <v>0</v>
      </c>
      <c r="G5" s="18">
        <f ca="1">INDIRECT("PriceData!i"&amp;C1)</f>
        <v>0</v>
      </c>
    </row>
    <row r="6" spans="2:7" x14ac:dyDescent="0.25">
      <c r="C6" s="13">
        <v>2</v>
      </c>
      <c r="D6" s="18">
        <f ca="1">INDIRECT("PriceData!k"&amp;C1)</f>
        <v>0</v>
      </c>
      <c r="E6" s="17">
        <f ca="1">INDIRECT("PriceData!l"&amp;C1)</f>
        <v>0</v>
      </c>
      <c r="F6" s="19">
        <f ca="1">INDIRECT("PriceData!n"&amp;C1)</f>
        <v>0</v>
      </c>
      <c r="G6" s="18">
        <f ca="1">INDIRECT("PriceData!m"&amp;C1)</f>
        <v>0</v>
      </c>
    </row>
    <row r="7" spans="2:7" x14ac:dyDescent="0.25">
      <c r="C7" s="13">
        <v>3</v>
      </c>
      <c r="D7" s="18">
        <f ca="1">INDIRECT("PriceData!o"&amp;C1)</f>
        <v>0</v>
      </c>
      <c r="E7" s="17">
        <f ca="1">INDIRECT("PriceData!p"&amp;C1)</f>
        <v>0</v>
      </c>
      <c r="F7" s="19">
        <f ca="1">INDIRECT("PriceData!r"&amp;C1)</f>
        <v>0</v>
      </c>
      <c r="G7" s="18">
        <f ca="1">INDIRECT("PriceData!q"&amp;C1)</f>
        <v>0</v>
      </c>
    </row>
    <row r="8" spans="2:7" x14ac:dyDescent="0.25">
      <c r="C8" s="13">
        <v>4</v>
      </c>
      <c r="D8" s="18">
        <f ca="1">INDIRECT("PriceData!s"&amp;$C$1)</f>
        <v>0</v>
      </c>
      <c r="E8" s="17">
        <f ca="1">INDIRECT("PriceData!t"&amp;$C$1)</f>
        <v>0</v>
      </c>
      <c r="F8" s="19">
        <f ca="1">INDIRECT("PriceData!v"&amp;$C$1)</f>
        <v>0</v>
      </c>
      <c r="G8" s="18">
        <f ca="1">INDIRECT("PriceData!u"&amp;$C$1)</f>
        <v>0</v>
      </c>
    </row>
    <row r="9" spans="2:7" x14ac:dyDescent="0.25">
      <c r="C9" s="13">
        <v>5</v>
      </c>
      <c r="D9" s="18">
        <f ca="1">INDIRECT("PriceData!w"&amp;$C$1)</f>
        <v>0</v>
      </c>
      <c r="E9" s="17">
        <f ca="1">INDIRECT("PriceData!x"&amp;$C$1)</f>
        <v>0</v>
      </c>
      <c r="F9" s="19">
        <f ca="1">INDIRECT("PriceData!z"&amp;$C$1)</f>
        <v>0</v>
      </c>
      <c r="G9" s="18">
        <f ca="1">INDIRECT("PriceData!y"&amp;$C$1)</f>
        <v>0</v>
      </c>
    </row>
    <row r="10" spans="2:7" x14ac:dyDescent="0.25">
      <c r="C10" s="13">
        <v>6</v>
      </c>
      <c r="D10" s="18">
        <f ca="1">INDIRECT("PriceData!aa"&amp;$C$1)</f>
        <v>0</v>
      </c>
      <c r="E10" s="17">
        <f ca="1">INDIRECT("PriceData!ab"&amp;$C$1)</f>
        <v>0</v>
      </c>
      <c r="F10" s="19">
        <f ca="1">INDIRECT("PriceData!ad"&amp;$C$1)</f>
        <v>0</v>
      </c>
      <c r="G10" s="18">
        <f ca="1">INDIRECT("PriceData!ac"&amp;$C$1)</f>
        <v>0</v>
      </c>
    </row>
    <row r="11" spans="2:7" x14ac:dyDescent="0.25">
      <c r="C11" s="13">
        <v>7</v>
      </c>
      <c r="D11" s="18">
        <f ca="1">INDIRECT("PriceData!ae"&amp;$C$1)</f>
        <v>0</v>
      </c>
      <c r="E11" s="17">
        <f ca="1">INDIRECT("PriceData!af"&amp;$C$1)</f>
        <v>0</v>
      </c>
      <c r="F11" s="19">
        <f ca="1">INDIRECT("PriceData!ah"&amp;$C$1)</f>
        <v>0</v>
      </c>
      <c r="G11" s="18">
        <f ca="1">INDIRECT("PriceData!ag"&amp;$C$1)</f>
        <v>0</v>
      </c>
    </row>
    <row r="12" spans="2:7" x14ac:dyDescent="0.25">
      <c r="C12" s="13">
        <v>8</v>
      </c>
      <c r="D12" s="18">
        <f ca="1">INDIRECT("PriceData!ai"&amp;$C$1)</f>
        <v>0</v>
      </c>
      <c r="E12" s="17">
        <f ca="1">INDIRECT("PriceData!aj"&amp;$C$1)</f>
        <v>0</v>
      </c>
      <c r="F12" s="19">
        <f ca="1">INDIRECT("PriceData!al"&amp;$C$1)</f>
        <v>0</v>
      </c>
      <c r="G12" s="18">
        <f ca="1">INDIRECT("PriceData!ak"&amp;$C$1)</f>
        <v>0</v>
      </c>
    </row>
    <row r="13" spans="2:7" x14ac:dyDescent="0.25">
      <c r="C13" s="13">
        <v>9</v>
      </c>
      <c r="D13" s="18">
        <f ca="1">INDIRECT("PriceData!am"&amp;$C$1)</f>
        <v>0</v>
      </c>
      <c r="E13" s="17">
        <f ca="1">INDIRECT("PriceData!an"&amp;$C$1)</f>
        <v>0</v>
      </c>
      <c r="F13" s="19">
        <f ca="1">INDIRECT("PriceData!ap"&amp;$C$1)</f>
        <v>0</v>
      </c>
      <c r="G13" s="18">
        <f ca="1">INDIRECT("PriceData!ao"&amp;$C$1)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41888.630613425928</v>
      </c>
    </row>
    <row r="2" spans="1:92" s="1" customFormat="1" x14ac:dyDescent="0.25">
      <c r="A2" s="11"/>
      <c r="B2" s="1" t="s">
        <v>41</v>
      </c>
      <c r="C2" s="1">
        <v>17</v>
      </c>
      <c r="D2" s="1">
        <v>1483</v>
      </c>
      <c r="E2" s="1">
        <v>14</v>
      </c>
      <c r="F2" s="1">
        <v>1490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IF(ISBLANK(PriceData!A1),"",PriceData!A1)</f>
        <v>ProductID</v>
      </c>
      <c r="C3" s="1" t="str">
        <f>IF(ISBLANK(PriceData!C1),"",PriceData!C1)</f>
        <v>Lv0 Bid Size</v>
      </c>
      <c r="D3" s="1" t="str">
        <f>IF(ISBLANK(PriceData!D1),"",PriceData!D1)</f>
        <v>Lv0 Bid Px</v>
      </c>
      <c r="E3" s="1" t="str">
        <f>IF(ISBLANK(PriceData!E1),"",PriceData!E1)</f>
        <v>Lv0 Ask Size</v>
      </c>
      <c r="F3" s="1" t="str">
        <f>IF(ISBLANK(PriceData!F1),"",PriceData!F1)</f>
        <v>Lv0 Ask Px</v>
      </c>
      <c r="G3" s="1" t="str">
        <f>IF(ISBLANK(PriceData!G1),"",PriceData!G1)</f>
        <v>Lv1 Bid Size</v>
      </c>
      <c r="H3" s="1" t="str">
        <f>IF(ISBLANK(PriceData!H1),"",PriceData!H1)</f>
        <v>Lv1 Bid Px</v>
      </c>
      <c r="I3" s="1" t="str">
        <f>IF(ISBLANK(PriceData!I1),"",PriceData!I1)</f>
        <v>Lv1 Ask size</v>
      </c>
      <c r="J3" s="1" t="str">
        <f>IF(ISBLANK(PriceData!J1),"",PriceData!J1)</f>
        <v>Lv1 Ask Px</v>
      </c>
      <c r="K3" s="1" t="str">
        <f>IF(ISBLANK(PriceData!K1),"",PriceData!K1)</f>
        <v>Lv2 Bid Size</v>
      </c>
      <c r="L3" s="1" t="str">
        <f>IF(ISBLANK(PriceData!L1),"",PriceData!L1)</f>
        <v>Lv2 Bid Px</v>
      </c>
      <c r="M3" s="1" t="str">
        <f>IF(ISBLANK(PriceData!M1),"",PriceData!M1)</f>
        <v>Lv2 Ask size</v>
      </c>
      <c r="N3" s="1" t="str">
        <f>IF(ISBLANK(PriceData!N1),"",PriceData!N1)</f>
        <v>Lv2 Ask Px</v>
      </c>
      <c r="O3" s="1" t="str">
        <f>IF(ISBLANK(PriceData!O1),"",PriceData!O1)</f>
        <v>Lv3 Bid Size</v>
      </c>
      <c r="P3" s="1" t="str">
        <f>IF(ISBLANK(PriceData!P1),"",PriceData!P1)</f>
        <v>Lv3 Bid Px</v>
      </c>
      <c r="Q3" s="1" t="str">
        <f>IF(ISBLANK(PriceData!Q1),"",PriceData!Q1)</f>
        <v>Lv3 Ask Size</v>
      </c>
      <c r="R3" s="1" t="str">
        <f>IF(ISBLANK(PriceData!R1),"",PriceData!R1)</f>
        <v>Lv3 Ask Px</v>
      </c>
      <c r="S3" s="1" t="str">
        <f>IF(ISBLANK(PriceData!S1),"",PriceData!S1)</f>
        <v>Lv4 Bid Size</v>
      </c>
      <c r="T3" s="1" t="str">
        <f>IF(ISBLANK(PriceData!T1),"",PriceData!T1)</f>
        <v>Lv4 Bid Px</v>
      </c>
      <c r="U3" s="1" t="str">
        <f>IF(ISBLANK(PriceData!U1),"",PriceData!U1)</f>
        <v>Lv4 Ask Size</v>
      </c>
      <c r="V3" s="1" t="str">
        <f>IF(ISBLANK(PriceData!V1),"",PriceData!V1)</f>
        <v>Lv4 Ask Px</v>
      </c>
      <c r="W3" s="1" t="str">
        <f>IF(ISBLANK(PriceData!W1),"",PriceData!W1)</f>
        <v>Lv5 Bid Size</v>
      </c>
      <c r="X3" s="1" t="str">
        <f>IF(ISBLANK(PriceData!X1),"",PriceData!X1)</f>
        <v>Lv5 Bid Px</v>
      </c>
      <c r="Y3" s="1" t="str">
        <f>IF(ISBLANK(PriceData!Y1),"",PriceData!Y1)</f>
        <v>Lv5 Ask size</v>
      </c>
      <c r="Z3" s="1" t="str">
        <f>IF(ISBLANK(PriceData!Z1),"",PriceData!Z1)</f>
        <v>Lv5 Ask Px</v>
      </c>
      <c r="AA3" s="1" t="str">
        <f>IF(ISBLANK(PriceData!AA1),"",PriceData!AA1)</f>
        <v>Lv6 Bid Size</v>
      </c>
      <c r="AB3" s="1" t="str">
        <f>IF(ISBLANK(PriceData!AB1),"",PriceData!AB1)</f>
        <v>Lv6 Bid Px</v>
      </c>
      <c r="AC3" s="1" t="str">
        <f>IF(ISBLANK(PriceData!AC1),"",PriceData!AC1)</f>
        <v>Lv6 Ask Size</v>
      </c>
      <c r="AD3" s="1" t="str">
        <f>IF(ISBLANK(PriceData!AD1),"",PriceData!AD1)</f>
        <v>Lv6 Ask Px</v>
      </c>
      <c r="AE3" s="1" t="str">
        <f>IF(ISBLANK(PriceData!AE1),"",PriceData!AE1)</f>
        <v>Lv7 Bid Size</v>
      </c>
      <c r="AF3" s="1" t="str">
        <f>IF(ISBLANK(PriceData!AF1),"",PriceData!AF1)</f>
        <v>Lv7 Bid Px</v>
      </c>
      <c r="AG3" s="1" t="str">
        <f>IF(ISBLANK(PriceData!AG1),"",PriceData!AG1)</f>
        <v>Lv7 Ask Size</v>
      </c>
      <c r="AH3" s="1" t="str">
        <f>IF(ISBLANK(PriceData!AH1),"",PriceData!AH1)</f>
        <v>Lv7 Ask Px</v>
      </c>
      <c r="AI3" s="1" t="str">
        <f>IF(ISBLANK(PriceData!AI1),"",PriceData!AI1)</f>
        <v>Lv8 Bid Size</v>
      </c>
      <c r="AJ3" s="1" t="str">
        <f>IF(ISBLANK(PriceData!AJ1),"",PriceData!AJ1)</f>
        <v>Lv8 Bid Px</v>
      </c>
      <c r="AK3" s="1" t="str">
        <f>IF(ISBLANK(PriceData!AK1),"",PriceData!AK1)</f>
        <v>Lv8 Ask Size</v>
      </c>
      <c r="AL3" s="1" t="str">
        <f>IF(ISBLANK(PriceData!AL1),"",PriceData!AL1)</f>
        <v>Lv8 Ask Px</v>
      </c>
      <c r="AM3" s="1" t="str">
        <f>IF(ISBLANK(PriceData!AM1),"",PriceData!AM1)</f>
        <v>Lv9 Bid Size</v>
      </c>
      <c r="AN3" s="1" t="str">
        <f>IF(ISBLANK(PriceData!AN1),"",PriceData!AN1)</f>
        <v>Lv9 Bid Px</v>
      </c>
      <c r="AO3" s="1" t="str">
        <f>IF(ISBLANK(PriceData!AO1),"",PriceData!AO1)</f>
        <v>Lv9 Ask size</v>
      </c>
      <c r="AP3" s="1" t="str">
        <f>IF(ISBLANK(PriceData!AP1),"",PriceData!AP1)</f>
        <v>Lv9 Ask Px</v>
      </c>
      <c r="AQ3" s="1" t="str">
        <f>IF(ISBLANK(PriceData!AQ1),"",PriceData!AQ1)</f>
        <v/>
      </c>
      <c r="AR3" s="1" t="str">
        <f>IF(ISBLANK(PriceData!AR1),"",PriceData!AR1)</f>
        <v/>
      </c>
      <c r="AS3" s="1" t="str">
        <f>IF(ISBLANK(PriceData!AS1),"",PriceData!AS1)</f>
        <v/>
      </c>
      <c r="AT3" s="1" t="str">
        <f>IF(ISBLANK(PriceData!AT1),"",PriceData!AT1)</f>
        <v/>
      </c>
      <c r="AU3" s="1" t="str">
        <f>IF(ISBLANK(PriceData!AU1),"",PriceData!AU1)</f>
        <v/>
      </c>
      <c r="AV3" s="1" t="str">
        <f>IF(ISBLANK(PriceData!AV1),"",PriceData!AV1)</f>
        <v/>
      </c>
      <c r="AW3" s="1" t="str">
        <f>IF(ISBLANK(PriceData!AW1),"",PriceData!AW1)</f>
        <v/>
      </c>
      <c r="AX3" s="1" t="str">
        <f>IF(ISBLANK(PriceData!AX1),"",PriceData!AX1)</f>
        <v/>
      </c>
      <c r="AY3" s="1" t="str">
        <f>IF(ISBLANK(PriceData!AY1),"",PriceData!AY1)</f>
        <v/>
      </c>
      <c r="AZ3" s="1" t="str">
        <f>IF(ISBLANK(PriceData!AZ1),"",PriceData!AZ1)</f>
        <v/>
      </c>
      <c r="BA3" s="1" t="str">
        <f>IF(ISBLANK(PriceData!BA1),"",PriceData!BA1)</f>
        <v/>
      </c>
      <c r="BB3" s="1" t="str">
        <f>IF(ISBLANK(PriceData!BB1),"",PriceData!BB1)</f>
        <v/>
      </c>
      <c r="BC3" s="1" t="str">
        <f>IF(ISBLANK(PriceData!BC1),"",PriceData!BC1)</f>
        <v/>
      </c>
      <c r="BD3" s="1" t="str">
        <f>IF(ISBLANK(PriceData!BD1),"",PriceData!BD1)</f>
        <v/>
      </c>
      <c r="BE3" s="1" t="str">
        <f>IF(ISBLANK(PriceData!BE1),"",PriceData!BE1)</f>
        <v/>
      </c>
      <c r="BF3" s="1" t="str">
        <f>IF(ISBLANK(PriceData!BF1),"",PriceData!BF1)</f>
        <v/>
      </c>
      <c r="BG3" s="1" t="str">
        <f>IF(ISBLANK(PriceData!BG1),"",PriceData!BG1)</f>
        <v/>
      </c>
      <c r="BH3" s="1" t="str">
        <f>IF(ISBLANK(PriceData!BH1),"",PriceData!BH1)</f>
        <v/>
      </c>
      <c r="BI3" s="1" t="str">
        <f>IF(ISBLANK(PriceData!BI1),"",PriceData!BI1)</f>
        <v/>
      </c>
      <c r="BJ3" s="1" t="str">
        <f>IF(ISBLANK(PriceData!BJ1),"",PriceData!BJ1)</f>
        <v/>
      </c>
      <c r="BK3" s="1" t="str">
        <f>IF(ISBLANK(PriceData!BK1),"",PriceData!BK1)</f>
        <v/>
      </c>
      <c r="BL3" s="1" t="str">
        <f>IF(ISBLANK(PriceData!BL1),"",PriceData!BL1)</f>
        <v/>
      </c>
      <c r="BM3" s="1" t="str">
        <f>IF(ISBLANK(PriceData!BM1),"",PriceData!BM1)</f>
        <v/>
      </c>
      <c r="BN3" s="1" t="str">
        <f>IF(ISBLANK(PriceData!BN1),"",PriceData!BN1)</f>
        <v/>
      </c>
      <c r="BO3" s="1" t="str">
        <f>IF(ISBLANK(PriceData!BO1),"",PriceData!BO1)</f>
        <v/>
      </c>
      <c r="BP3" s="1" t="str">
        <f>IF(ISBLANK(PriceData!BP1),"",PriceData!BP1)</f>
        <v/>
      </c>
      <c r="BQ3" s="1" t="str">
        <f>IF(ISBLANK(PriceData!BQ1),"",PriceData!BQ1)</f>
        <v/>
      </c>
      <c r="BR3" s="1" t="str">
        <f>IF(ISBLANK(PriceData!BR1),"",PriceData!BR1)</f>
        <v/>
      </c>
      <c r="BS3" s="1" t="str">
        <f>IF(ISBLANK(PriceData!BS1),"",PriceData!BS1)</f>
        <v/>
      </c>
      <c r="BT3" s="1" t="str">
        <f>IF(ISBLANK(PriceData!BT1),"",PriceData!BT1)</f>
        <v/>
      </c>
      <c r="BU3" s="1" t="str">
        <f>IF(ISBLANK(PriceData!BU1),"",PriceData!BU1)</f>
        <v/>
      </c>
      <c r="BV3" s="1" t="str">
        <f>IF(ISBLANK(PriceData!BV1),"",PriceData!BV1)</f>
        <v/>
      </c>
      <c r="BW3" s="1" t="str">
        <f>IF(ISBLANK(PriceData!BW1),"",PriceData!BW1)</f>
        <v/>
      </c>
      <c r="BX3" s="1" t="str">
        <f>IF(ISBLANK(PriceData!BX1),"",PriceData!BX1)</f>
        <v/>
      </c>
      <c r="BY3" s="1" t="str">
        <f>IF(ISBLANK(PriceData!BY1),"",PriceData!BY1)</f>
        <v/>
      </c>
      <c r="BZ3" s="1" t="str">
        <f>IF(ISBLANK(PriceData!BZ1),"",PriceData!BZ1)</f>
        <v/>
      </c>
      <c r="CA3" s="1" t="str">
        <f>IF(ISBLANK(PriceData!CA1),"",PriceData!CA1)</f>
        <v/>
      </c>
      <c r="CB3" s="1" t="str">
        <f>IF(ISBLANK(PriceData!CB1),"",PriceData!CB1)</f>
        <v/>
      </c>
      <c r="CC3" s="1" t="str">
        <f>IF(ISBLANK(PriceData!CC1),"",PriceData!CC1)</f>
        <v/>
      </c>
      <c r="CD3" s="1" t="str">
        <f>IF(ISBLANK(PriceData!CD1),"",PriceData!CD1)</f>
        <v/>
      </c>
      <c r="CE3" s="1" t="str">
        <f>IF(ISBLANK(PriceData!CE1),"",PriceData!CE1)</f>
        <v/>
      </c>
      <c r="CF3" s="1" t="str">
        <f>IF(ISBLANK(PriceData!CF1),"",PriceData!CF1)</f>
        <v/>
      </c>
      <c r="CG3" s="1" t="str">
        <f>IF(ISBLANK(PriceData!CG1),"",PriceData!CG1)</f>
        <v/>
      </c>
      <c r="CH3" s="1" t="str">
        <f>IF(ISBLANK(PriceData!CH1),"",PriceData!CH1)</f>
        <v/>
      </c>
      <c r="CI3" s="1" t="str">
        <f>IF(ISBLANK(PriceData!CI1),"",PriceData!CI1)</f>
        <v/>
      </c>
      <c r="CJ3" s="1" t="str">
        <f>IF(ISBLANK(PriceData!CJ1),"",PriceData!CJ1)</f>
        <v/>
      </c>
      <c r="CK3" s="1" t="str">
        <f>IF(ISBLANK(PriceData!CK1),"",PriceData!CK1)</f>
        <v/>
      </c>
      <c r="CL3" s="1" t="str">
        <f>IF(ISBLANK(PriceData!CL1),"",PriceData!CL1)</f>
        <v/>
      </c>
      <c r="CM3" s="1" t="str">
        <f>IF(ISBLANK(PriceData!CM1),"",PriceData!CM1)</f>
        <v/>
      </c>
      <c r="CN3" s="1" t="str">
        <f>IF(ISBLANK(PriceData!CN1),"",PriceData!CN1)</f>
        <v/>
      </c>
    </row>
    <row r="4" spans="1:92" x14ac:dyDescent="0.25">
      <c r="B4" s="1" t="str">
        <f>IF(ISBLANK(PriceData!A2),"",PriceData!A2)</f>
        <v>TEST_OANDA_EURUSD</v>
      </c>
      <c r="C4" s="1">
        <f>IF(ISBLANK(PriceData!C2),"",PriceData!C2)</f>
        <v>1</v>
      </c>
      <c r="D4" s="1">
        <f>IF(ISBLANK(PriceData!D2),"",PriceData!D2)</f>
        <v>1.2948500000000001</v>
      </c>
      <c r="E4" s="1">
        <f>IF(ISBLANK(PriceData!E2),"",PriceData!E2)</f>
        <v>1</v>
      </c>
      <c r="F4" s="1">
        <f>IF(ISBLANK(PriceData!F2),"",PriceData!F2)</f>
        <v>1.2954399999999999</v>
      </c>
      <c r="G4" s="1" t="str">
        <f>IF(ISBLANK(PriceData!G2),"",PriceData!G2)</f>
        <v/>
      </c>
      <c r="H4" s="1" t="str">
        <f>IF(ISBLANK(PriceData!H2),"",PriceData!H2)</f>
        <v/>
      </c>
      <c r="I4" s="1" t="str">
        <f>IF(ISBLANK(PriceData!I2),"",PriceData!I2)</f>
        <v/>
      </c>
      <c r="J4" s="1" t="str">
        <f>IF(ISBLANK(PriceData!J2),"",PriceData!J2)</f>
        <v/>
      </c>
      <c r="K4" s="1" t="str">
        <f>IF(ISBLANK(PriceData!K2),"",PriceData!K2)</f>
        <v/>
      </c>
      <c r="L4" s="1" t="str">
        <f>IF(ISBLANK(PriceData!L2),"",PriceData!L2)</f>
        <v/>
      </c>
      <c r="M4" s="1" t="str">
        <f>IF(ISBLANK(PriceData!M2),"",PriceData!M2)</f>
        <v/>
      </c>
      <c r="N4" s="1" t="str">
        <f>IF(ISBLANK(PriceData!N2),"",PriceData!N2)</f>
        <v/>
      </c>
      <c r="O4" s="1" t="str">
        <f>IF(ISBLANK(PriceData!O2),"",PriceData!O2)</f>
        <v/>
      </c>
      <c r="P4" s="1" t="str">
        <f>IF(ISBLANK(PriceData!P2),"",PriceData!P2)</f>
        <v/>
      </c>
      <c r="Q4" s="1" t="str">
        <f>IF(ISBLANK(PriceData!Q2),"",PriceData!Q2)</f>
        <v/>
      </c>
      <c r="R4" s="1" t="str">
        <f>IF(ISBLANK(PriceData!R2),"",PriceData!R2)</f>
        <v/>
      </c>
      <c r="S4" s="1" t="str">
        <f>IF(ISBLANK(PriceData!S2),"",PriceData!S2)</f>
        <v/>
      </c>
      <c r="T4" s="1" t="str">
        <f>IF(ISBLANK(PriceData!T2),"",PriceData!T2)</f>
        <v/>
      </c>
      <c r="U4" s="1" t="str">
        <f>IF(ISBLANK(PriceData!U2),"",PriceData!U2)</f>
        <v/>
      </c>
      <c r="V4" s="1" t="str">
        <f>IF(ISBLANK(PriceData!V2),"",PriceData!V2)</f>
        <v/>
      </c>
      <c r="W4" s="1" t="str">
        <f>IF(ISBLANK(PriceData!W2),"",PriceData!W2)</f>
        <v/>
      </c>
      <c r="X4" s="1" t="str">
        <f>IF(ISBLANK(PriceData!X2),"",PriceData!X2)</f>
        <v/>
      </c>
      <c r="Y4" s="1" t="str">
        <f>IF(ISBLANK(PriceData!Y2),"",PriceData!Y2)</f>
        <v/>
      </c>
      <c r="Z4" s="1" t="str">
        <f>IF(ISBLANK(PriceData!Z2),"",PriceData!Z2)</f>
        <v/>
      </c>
      <c r="AA4" s="1" t="str">
        <f>IF(ISBLANK(PriceData!AA2),"",PriceData!AA2)</f>
        <v/>
      </c>
      <c r="AB4" s="1" t="str">
        <f>IF(ISBLANK(PriceData!AB2),"",PriceData!AB2)</f>
        <v/>
      </c>
      <c r="AC4" s="1" t="str">
        <f>IF(ISBLANK(PriceData!AC2),"",PriceData!AC2)</f>
        <v/>
      </c>
      <c r="AD4" s="1" t="str">
        <f>IF(ISBLANK(PriceData!AD2),"",PriceData!AD2)</f>
        <v/>
      </c>
      <c r="AE4" s="1" t="str">
        <f>IF(ISBLANK(PriceData!AE2),"",PriceData!AE2)</f>
        <v/>
      </c>
      <c r="AF4" s="1" t="str">
        <f>IF(ISBLANK(PriceData!AF2),"",PriceData!AF2)</f>
        <v/>
      </c>
      <c r="AG4" s="1" t="str">
        <f>IF(ISBLANK(PriceData!AG2),"",PriceData!AG2)</f>
        <v/>
      </c>
      <c r="AH4" s="1" t="str">
        <f>IF(ISBLANK(PriceData!AH2),"",PriceData!AH2)</f>
        <v/>
      </c>
      <c r="AI4" s="1" t="str">
        <f>IF(ISBLANK(PriceData!AI2),"",PriceData!AI2)</f>
        <v/>
      </c>
      <c r="AJ4" s="1" t="str">
        <f>IF(ISBLANK(PriceData!AJ2),"",PriceData!AJ2)</f>
        <v/>
      </c>
      <c r="AK4" s="1" t="str">
        <f>IF(ISBLANK(PriceData!AK2),"",PriceData!AK2)</f>
        <v/>
      </c>
      <c r="AL4" s="1" t="str">
        <f>IF(ISBLANK(PriceData!AL2),"",PriceData!AL2)</f>
        <v/>
      </c>
      <c r="AM4" s="1" t="str">
        <f>IF(ISBLANK(PriceData!AM2),"",PriceData!AM2)</f>
        <v/>
      </c>
      <c r="AN4" s="1" t="str">
        <f>IF(ISBLANK(PriceData!AN2),"",PriceData!AN2)</f>
        <v/>
      </c>
      <c r="AO4" s="1" t="str">
        <f>IF(ISBLANK(PriceData!AO2),"",PriceData!AO2)</f>
        <v/>
      </c>
      <c r="AP4" s="1" t="str">
        <f>IF(ISBLANK(PriceData!AP2),"",PriceData!AP2)</f>
        <v/>
      </c>
      <c r="AQ4" s="1" t="str">
        <f>IF(ISBLANK(PriceData!AQ2),"",PriceData!AQ2)</f>
        <v/>
      </c>
      <c r="AR4" s="1" t="str">
        <f>IF(ISBLANK(PriceData!AR2),"",PriceData!AR2)</f>
        <v/>
      </c>
      <c r="AS4" s="1" t="str">
        <f>IF(ISBLANK(PriceData!AS2),"",PriceData!AS2)</f>
        <v/>
      </c>
      <c r="AT4" s="1" t="str">
        <f>IF(ISBLANK(PriceData!AT2),"",PriceData!AT2)</f>
        <v/>
      </c>
      <c r="AU4" s="1" t="str">
        <f>IF(ISBLANK(PriceData!AU2),"",PriceData!AU2)</f>
        <v/>
      </c>
      <c r="AV4" s="1" t="str">
        <f>IF(ISBLANK(PriceData!AV2),"",PriceData!AV2)</f>
        <v/>
      </c>
      <c r="AW4" s="1" t="str">
        <f>IF(ISBLANK(PriceData!AW2),"",PriceData!AW2)</f>
        <v/>
      </c>
      <c r="AX4" s="1" t="str">
        <f>IF(ISBLANK(PriceData!AX2),"",PriceData!AX2)</f>
        <v/>
      </c>
      <c r="AY4" s="1" t="str">
        <f>IF(ISBLANK(PriceData!AY2),"",PriceData!AY2)</f>
        <v/>
      </c>
      <c r="AZ4" s="1" t="str">
        <f>IF(ISBLANK(PriceData!AZ2),"",PriceData!AZ2)</f>
        <v/>
      </c>
      <c r="BA4" s="1" t="str">
        <f>IF(ISBLANK(PriceData!BA2),"",PriceData!BA2)</f>
        <v/>
      </c>
      <c r="BB4" s="1" t="str">
        <f>IF(ISBLANK(PriceData!BB2),"",PriceData!BB2)</f>
        <v/>
      </c>
      <c r="BC4" s="1" t="str">
        <f>IF(ISBLANK(PriceData!BC2),"",PriceData!BC2)</f>
        <v/>
      </c>
      <c r="BD4" s="1" t="str">
        <f>IF(ISBLANK(PriceData!BD2),"",PriceData!BD2)</f>
        <v/>
      </c>
      <c r="BE4" s="1" t="str">
        <f>IF(ISBLANK(PriceData!BE2),"",PriceData!BE2)</f>
        <v/>
      </c>
      <c r="BF4" s="1" t="str">
        <f>IF(ISBLANK(PriceData!BF2),"",PriceData!BF2)</f>
        <v/>
      </c>
      <c r="BG4" s="1" t="str">
        <f>IF(ISBLANK(PriceData!BG2),"",PriceData!BG2)</f>
        <v/>
      </c>
      <c r="BH4" s="1" t="str">
        <f>IF(ISBLANK(PriceData!BH2),"",PriceData!BH2)</f>
        <v/>
      </c>
      <c r="BI4" s="1" t="str">
        <f>IF(ISBLANK(PriceData!BI2),"",PriceData!BI2)</f>
        <v/>
      </c>
      <c r="BJ4" s="1" t="str">
        <f>IF(ISBLANK(PriceData!BJ2),"",PriceData!BJ2)</f>
        <v/>
      </c>
      <c r="BK4" s="1" t="str">
        <f>IF(ISBLANK(PriceData!BK2),"",PriceData!BK2)</f>
        <v/>
      </c>
      <c r="BL4" s="1" t="str">
        <f>IF(ISBLANK(PriceData!BL2),"",PriceData!BL2)</f>
        <v/>
      </c>
      <c r="BM4" s="1" t="str">
        <f>IF(ISBLANK(PriceData!BM2),"",PriceData!BM2)</f>
        <v/>
      </c>
      <c r="BN4" s="1" t="str">
        <f>IF(ISBLANK(PriceData!BN2),"",PriceData!BN2)</f>
        <v/>
      </c>
      <c r="BO4" s="1" t="str">
        <f>IF(ISBLANK(PriceData!BO2),"",PriceData!BO2)</f>
        <v/>
      </c>
      <c r="BP4" s="1" t="str">
        <f>IF(ISBLANK(PriceData!BP2),"",PriceData!BP2)</f>
        <v/>
      </c>
      <c r="BQ4" s="1" t="str">
        <f>IF(ISBLANK(PriceData!BQ2),"",PriceData!BQ2)</f>
        <v/>
      </c>
      <c r="BR4" s="1" t="str">
        <f>IF(ISBLANK(PriceData!BR2),"",PriceData!BR2)</f>
        <v/>
      </c>
      <c r="BS4" s="1" t="str">
        <f>IF(ISBLANK(PriceData!BS2),"",PriceData!BS2)</f>
        <v/>
      </c>
      <c r="BT4" s="1" t="str">
        <f>IF(ISBLANK(PriceData!BT2),"",PriceData!BT2)</f>
        <v/>
      </c>
      <c r="BU4" s="1" t="str">
        <f>IF(ISBLANK(PriceData!BU2),"",PriceData!BU2)</f>
        <v/>
      </c>
      <c r="BV4" s="1" t="str">
        <f>IF(ISBLANK(PriceData!BV2),"",PriceData!BV2)</f>
        <v/>
      </c>
      <c r="BW4" s="1" t="str">
        <f>IF(ISBLANK(PriceData!BW2),"",PriceData!BW2)</f>
        <v/>
      </c>
      <c r="BX4" s="1" t="str">
        <f>IF(ISBLANK(PriceData!BX2),"",PriceData!BX2)</f>
        <v/>
      </c>
      <c r="BY4" s="1" t="str">
        <f>IF(ISBLANK(PriceData!BY2),"",PriceData!BY2)</f>
        <v/>
      </c>
      <c r="BZ4" s="1" t="str">
        <f>IF(ISBLANK(PriceData!BZ2),"",PriceData!BZ2)</f>
        <v/>
      </c>
      <c r="CA4" s="1" t="str">
        <f>IF(ISBLANK(PriceData!CA2),"",PriceData!CA2)</f>
        <v/>
      </c>
      <c r="CB4" s="1" t="str">
        <f>IF(ISBLANK(PriceData!CB2),"",PriceData!CB2)</f>
        <v/>
      </c>
      <c r="CC4" s="1" t="str">
        <f>IF(ISBLANK(PriceData!CC2),"",PriceData!CC2)</f>
        <v/>
      </c>
      <c r="CD4" s="1" t="str">
        <f>IF(ISBLANK(PriceData!CD2),"",PriceData!CD2)</f>
        <v/>
      </c>
      <c r="CE4" s="1" t="str">
        <f>IF(ISBLANK(PriceData!CE2),"",PriceData!CE2)</f>
        <v/>
      </c>
      <c r="CF4" s="1" t="str">
        <f>IF(ISBLANK(PriceData!CF2),"",PriceData!CF2)</f>
        <v/>
      </c>
      <c r="CG4" s="1" t="str">
        <f>IF(ISBLANK(PriceData!CG2),"",PriceData!CG2)</f>
        <v/>
      </c>
      <c r="CH4" s="1" t="str">
        <f>IF(ISBLANK(PriceData!CH2),"",PriceData!CH2)</f>
        <v/>
      </c>
      <c r="CI4" s="1" t="str">
        <f>IF(ISBLANK(PriceData!CI2),"",PriceData!CI2)</f>
        <v/>
      </c>
      <c r="CJ4" s="1" t="str">
        <f>IF(ISBLANK(PriceData!CJ2),"",PriceData!CJ2)</f>
        <v/>
      </c>
      <c r="CK4" s="1" t="str">
        <f>IF(ISBLANK(PriceData!CK2),"",PriceData!CK2)</f>
        <v/>
      </c>
      <c r="CL4" s="1" t="str">
        <f>IF(ISBLANK(PriceData!CL2),"",PriceData!CL2)</f>
        <v/>
      </c>
      <c r="CM4" s="1" t="str">
        <f>IF(ISBLANK(PriceData!CM2),"",PriceData!CM2)</f>
        <v/>
      </c>
      <c r="CN4" s="1" t="str">
        <f>IF(ISBLANK(PriceData!CN2),"",PriceData!CN2)</f>
        <v/>
      </c>
    </row>
    <row r="5" spans="1:92" x14ac:dyDescent="0.25">
      <c r="B5" s="1" t="str">
        <f>IF(ISBLANK(PriceData!A3),"",PriceData!A3)</f>
        <v>TEST_OANDA_EURGBP</v>
      </c>
      <c r="C5" s="1">
        <f>IF(ISBLANK(PriceData!C3),"",PriceData!C3)</f>
        <v>1</v>
      </c>
      <c r="D5" s="1">
        <f>IF(ISBLANK(PriceData!D3),"",PriceData!D3)</f>
        <v>0.79303000000000001</v>
      </c>
      <c r="E5" s="1">
        <f>IF(ISBLANK(PriceData!E3),"",PriceData!E3)</f>
        <v>1</v>
      </c>
      <c r="F5" s="1">
        <f>IF(ISBLANK(PriceData!F3),"",PriceData!F3)</f>
        <v>0.79342999999999997</v>
      </c>
      <c r="G5" s="1" t="str">
        <f>IF(ISBLANK(PriceData!G3),"",PriceData!G3)</f>
        <v/>
      </c>
      <c r="H5" s="1" t="str">
        <f>IF(ISBLANK(PriceData!H3),"",PriceData!H3)</f>
        <v/>
      </c>
      <c r="I5" s="1" t="str">
        <f>IF(ISBLANK(PriceData!I3),"",PriceData!I3)</f>
        <v/>
      </c>
      <c r="J5" s="1" t="str">
        <f>IF(ISBLANK(PriceData!J3),"",PriceData!J3)</f>
        <v/>
      </c>
      <c r="K5" s="1" t="str">
        <f>IF(ISBLANK(PriceData!K3),"",PriceData!K3)</f>
        <v/>
      </c>
      <c r="L5" s="1" t="str">
        <f>IF(ISBLANK(PriceData!L3),"",PriceData!L3)</f>
        <v/>
      </c>
      <c r="M5" s="1" t="str">
        <f>IF(ISBLANK(PriceData!M3),"",PriceData!M3)</f>
        <v/>
      </c>
      <c r="N5" s="1" t="str">
        <f>IF(ISBLANK(PriceData!N3),"",PriceData!N3)</f>
        <v/>
      </c>
      <c r="O5" s="1" t="str">
        <f>IF(ISBLANK(PriceData!O3),"",PriceData!O3)</f>
        <v/>
      </c>
      <c r="P5" s="1" t="str">
        <f>IF(ISBLANK(PriceData!P3),"",PriceData!P3)</f>
        <v/>
      </c>
      <c r="Q5" s="1" t="str">
        <f>IF(ISBLANK(PriceData!Q3),"",PriceData!Q3)</f>
        <v/>
      </c>
      <c r="R5" s="1" t="str">
        <f>IF(ISBLANK(PriceData!R3),"",PriceData!R3)</f>
        <v/>
      </c>
      <c r="S5" s="1" t="str">
        <f>IF(ISBLANK(PriceData!S3),"",PriceData!S3)</f>
        <v/>
      </c>
      <c r="T5" s="1" t="str">
        <f>IF(ISBLANK(PriceData!T3),"",PriceData!T3)</f>
        <v/>
      </c>
      <c r="U5" s="1" t="str">
        <f>IF(ISBLANK(PriceData!U3),"",PriceData!U3)</f>
        <v/>
      </c>
      <c r="V5" s="1" t="str">
        <f>IF(ISBLANK(PriceData!V3),"",PriceData!V3)</f>
        <v/>
      </c>
      <c r="W5" s="1" t="str">
        <f>IF(ISBLANK(PriceData!W3),"",PriceData!W3)</f>
        <v/>
      </c>
      <c r="X5" s="1" t="str">
        <f>IF(ISBLANK(PriceData!X3),"",PriceData!X3)</f>
        <v/>
      </c>
      <c r="Y5" s="1" t="str">
        <f>IF(ISBLANK(PriceData!Y3),"",PriceData!Y3)</f>
        <v/>
      </c>
      <c r="Z5" s="1" t="str">
        <f>IF(ISBLANK(PriceData!Z3),"",PriceData!Z3)</f>
        <v/>
      </c>
      <c r="AA5" s="1" t="str">
        <f>IF(ISBLANK(PriceData!AA3),"",PriceData!AA3)</f>
        <v/>
      </c>
      <c r="AB5" s="1" t="str">
        <f>IF(ISBLANK(PriceData!AB3),"",PriceData!AB3)</f>
        <v/>
      </c>
      <c r="AC5" s="1" t="str">
        <f>IF(ISBLANK(PriceData!AC3),"",PriceData!AC3)</f>
        <v/>
      </c>
      <c r="AD5" s="1" t="str">
        <f>IF(ISBLANK(PriceData!AD3),"",PriceData!AD3)</f>
        <v/>
      </c>
      <c r="AE5" s="1" t="str">
        <f>IF(ISBLANK(PriceData!AE3),"",PriceData!AE3)</f>
        <v/>
      </c>
      <c r="AF5" s="1" t="str">
        <f>IF(ISBLANK(PriceData!AF3),"",PriceData!AF3)</f>
        <v/>
      </c>
      <c r="AG5" s="1" t="str">
        <f>IF(ISBLANK(PriceData!AG3),"",PriceData!AG3)</f>
        <v/>
      </c>
      <c r="AH5" s="1" t="str">
        <f>IF(ISBLANK(PriceData!AH3),"",PriceData!AH3)</f>
        <v/>
      </c>
      <c r="AI5" s="1" t="str">
        <f>IF(ISBLANK(PriceData!AI3),"",PriceData!AI3)</f>
        <v/>
      </c>
      <c r="AJ5" s="1" t="str">
        <f>IF(ISBLANK(PriceData!AJ3),"",PriceData!AJ3)</f>
        <v/>
      </c>
      <c r="AK5" s="1" t="str">
        <f>IF(ISBLANK(PriceData!AK3),"",PriceData!AK3)</f>
        <v/>
      </c>
      <c r="AL5" s="1" t="str">
        <f>IF(ISBLANK(PriceData!AL3),"",PriceData!AL3)</f>
        <v/>
      </c>
      <c r="AM5" s="1" t="str">
        <f>IF(ISBLANK(PriceData!AM3),"",PriceData!AM3)</f>
        <v/>
      </c>
      <c r="AN5" s="1" t="str">
        <f>IF(ISBLANK(PriceData!AN3),"",PriceData!AN3)</f>
        <v/>
      </c>
      <c r="AO5" s="1" t="str">
        <f>IF(ISBLANK(PriceData!AO3),"",PriceData!AO3)</f>
        <v/>
      </c>
      <c r="AP5" s="1" t="str">
        <f>IF(ISBLANK(PriceData!AP3),"",PriceData!AP3)</f>
        <v/>
      </c>
      <c r="AQ5" s="1" t="str">
        <f>IF(ISBLANK(PriceData!AQ3),"",PriceData!AQ3)</f>
        <v/>
      </c>
      <c r="AR5" s="1" t="str">
        <f>IF(ISBLANK(PriceData!AR3),"",PriceData!AR3)</f>
        <v/>
      </c>
      <c r="AS5" s="1" t="str">
        <f>IF(ISBLANK(PriceData!AS3),"",PriceData!AS3)</f>
        <v/>
      </c>
      <c r="AT5" s="1" t="str">
        <f>IF(ISBLANK(PriceData!AT3),"",PriceData!AT3)</f>
        <v/>
      </c>
      <c r="AU5" s="1" t="str">
        <f>IF(ISBLANK(PriceData!AU3),"",PriceData!AU3)</f>
        <v/>
      </c>
      <c r="AV5" s="1" t="str">
        <f>IF(ISBLANK(PriceData!AV3),"",PriceData!AV3)</f>
        <v/>
      </c>
      <c r="AW5" s="1" t="str">
        <f>IF(ISBLANK(PriceData!AW3),"",PriceData!AW3)</f>
        <v/>
      </c>
      <c r="AX5" s="1" t="str">
        <f>IF(ISBLANK(PriceData!AX3),"",PriceData!AX3)</f>
        <v/>
      </c>
      <c r="AY5" s="1" t="str">
        <f>IF(ISBLANK(PriceData!AY3),"",PriceData!AY3)</f>
        <v/>
      </c>
      <c r="AZ5" s="1" t="str">
        <f>IF(ISBLANK(PriceData!AZ3),"",PriceData!AZ3)</f>
        <v/>
      </c>
      <c r="BA5" s="1" t="str">
        <f>IF(ISBLANK(PriceData!BA3),"",PriceData!BA3)</f>
        <v/>
      </c>
      <c r="BB5" s="1" t="str">
        <f>IF(ISBLANK(PriceData!BB3),"",PriceData!BB3)</f>
        <v/>
      </c>
      <c r="BC5" s="1" t="str">
        <f>IF(ISBLANK(PriceData!BC3),"",PriceData!BC3)</f>
        <v/>
      </c>
      <c r="BD5" s="1" t="str">
        <f>IF(ISBLANK(PriceData!BD3),"",PriceData!BD3)</f>
        <v/>
      </c>
      <c r="BE5" s="1" t="str">
        <f>IF(ISBLANK(PriceData!BE3),"",PriceData!BE3)</f>
        <v/>
      </c>
      <c r="BF5" s="1" t="str">
        <f>IF(ISBLANK(PriceData!BF3),"",PriceData!BF3)</f>
        <v/>
      </c>
      <c r="BG5" s="1" t="str">
        <f>IF(ISBLANK(PriceData!BG3),"",PriceData!BG3)</f>
        <v/>
      </c>
      <c r="BH5" s="1" t="str">
        <f>IF(ISBLANK(PriceData!BH3),"",PriceData!BH3)</f>
        <v/>
      </c>
      <c r="BI5" s="1" t="str">
        <f>IF(ISBLANK(PriceData!BI3),"",PriceData!BI3)</f>
        <v/>
      </c>
      <c r="BJ5" s="1" t="str">
        <f>IF(ISBLANK(PriceData!BJ3),"",PriceData!BJ3)</f>
        <v/>
      </c>
      <c r="BK5" s="1" t="str">
        <f>IF(ISBLANK(PriceData!BK3),"",PriceData!BK3)</f>
        <v/>
      </c>
      <c r="BL5" s="1" t="str">
        <f>IF(ISBLANK(PriceData!BL3),"",PriceData!BL3)</f>
        <v/>
      </c>
      <c r="BM5" s="1" t="str">
        <f>IF(ISBLANK(PriceData!BM3),"",PriceData!BM3)</f>
        <v/>
      </c>
      <c r="BN5" s="1" t="str">
        <f>IF(ISBLANK(PriceData!BN3),"",PriceData!BN3)</f>
        <v/>
      </c>
      <c r="BO5" s="1" t="str">
        <f>IF(ISBLANK(PriceData!BO3),"",PriceData!BO3)</f>
        <v/>
      </c>
      <c r="BP5" s="1" t="str">
        <f>IF(ISBLANK(PriceData!BP3),"",PriceData!BP3)</f>
        <v/>
      </c>
      <c r="BQ5" s="1" t="str">
        <f>IF(ISBLANK(PriceData!BQ3),"",PriceData!BQ3)</f>
        <v/>
      </c>
      <c r="BR5" s="1" t="str">
        <f>IF(ISBLANK(PriceData!BR3),"",PriceData!BR3)</f>
        <v/>
      </c>
      <c r="BS5" s="1" t="str">
        <f>IF(ISBLANK(PriceData!BS3),"",PriceData!BS3)</f>
        <v/>
      </c>
      <c r="BT5" s="1" t="str">
        <f>IF(ISBLANK(PriceData!BT3),"",PriceData!BT3)</f>
        <v/>
      </c>
      <c r="BU5" s="1" t="str">
        <f>IF(ISBLANK(PriceData!BU3),"",PriceData!BU3)</f>
        <v/>
      </c>
      <c r="BV5" s="1" t="str">
        <f>IF(ISBLANK(PriceData!BV3),"",PriceData!BV3)</f>
        <v/>
      </c>
      <c r="BW5" s="1" t="str">
        <f>IF(ISBLANK(PriceData!BW3),"",PriceData!BW3)</f>
        <v/>
      </c>
      <c r="BX5" s="1" t="str">
        <f>IF(ISBLANK(PriceData!BX3),"",PriceData!BX3)</f>
        <v/>
      </c>
      <c r="BY5" s="1" t="str">
        <f>IF(ISBLANK(PriceData!BY3),"",PriceData!BY3)</f>
        <v/>
      </c>
      <c r="BZ5" s="1" t="str">
        <f>IF(ISBLANK(PriceData!BZ3),"",PriceData!BZ3)</f>
        <v/>
      </c>
      <c r="CA5" s="1" t="str">
        <f>IF(ISBLANK(PriceData!CA3),"",PriceData!CA3)</f>
        <v/>
      </c>
      <c r="CB5" s="1" t="str">
        <f>IF(ISBLANK(PriceData!CB3),"",PriceData!CB3)</f>
        <v/>
      </c>
      <c r="CC5" s="1" t="str">
        <f>IF(ISBLANK(PriceData!CC3),"",PriceData!CC3)</f>
        <v/>
      </c>
      <c r="CD5" s="1" t="str">
        <f>IF(ISBLANK(PriceData!CD3),"",PriceData!CD3)</f>
        <v/>
      </c>
      <c r="CE5" s="1" t="str">
        <f>IF(ISBLANK(PriceData!CE3),"",PriceData!CE3)</f>
        <v/>
      </c>
      <c r="CF5" s="1" t="str">
        <f>IF(ISBLANK(PriceData!CF3),"",PriceData!CF3)</f>
        <v/>
      </c>
      <c r="CG5" s="1" t="str">
        <f>IF(ISBLANK(PriceData!CG3),"",PriceData!CG3)</f>
        <v/>
      </c>
      <c r="CH5" s="1" t="str">
        <f>IF(ISBLANK(PriceData!CH3),"",PriceData!CH3)</f>
        <v/>
      </c>
      <c r="CI5" s="1" t="str">
        <f>IF(ISBLANK(PriceData!CI3),"",PriceData!CI3)</f>
        <v/>
      </c>
      <c r="CJ5" s="1" t="str">
        <f>IF(ISBLANK(PriceData!CJ3),"",PriceData!CJ3)</f>
        <v/>
      </c>
      <c r="CK5" s="1" t="str">
        <f>IF(ISBLANK(PriceData!CK3),"",PriceData!CK3)</f>
        <v/>
      </c>
      <c r="CL5" s="1" t="str">
        <f>IF(ISBLANK(PriceData!CL3),"",PriceData!CL3)</f>
        <v/>
      </c>
      <c r="CM5" s="1" t="str">
        <f>IF(ISBLANK(PriceData!CM3),"",PriceData!CM3)</f>
        <v/>
      </c>
      <c r="CN5" s="1" t="str">
        <f>IF(ISBLANK(PriceData!CN3),"",PriceData!CN3)</f>
        <v/>
      </c>
    </row>
    <row r="6" spans="1:92" x14ac:dyDescent="0.25">
      <c r="B6" s="1" t="str">
        <f>IF(ISBLANK(PriceData!A4),"",PriceData!A4)</f>
        <v>TEST_OANDA_EURJPY</v>
      </c>
      <c r="C6" s="1">
        <f>IF(ISBLANK(PriceData!C4),"",PriceData!C4)</f>
        <v>1</v>
      </c>
      <c r="D6" s="1">
        <f>IF(ISBLANK(PriceData!D4),"",PriceData!D4)</f>
        <v>136.09100000000001</v>
      </c>
      <c r="E6" s="1">
        <f>IF(ISBLANK(PriceData!E4),"",PriceData!E4)</f>
        <v>1</v>
      </c>
      <c r="F6" s="1">
        <f>IF(ISBLANK(PriceData!F4),"",PriceData!F4)</f>
        <v>136.13300000000001</v>
      </c>
      <c r="G6" s="1" t="str">
        <f>IF(ISBLANK(PriceData!G4),"",PriceData!G4)</f>
        <v/>
      </c>
      <c r="H6" s="1" t="str">
        <f>IF(ISBLANK(PriceData!H4),"",PriceData!H4)</f>
        <v/>
      </c>
      <c r="I6" s="1" t="str">
        <f>IF(ISBLANK(PriceData!I4),"",PriceData!I4)</f>
        <v/>
      </c>
      <c r="J6" s="1" t="str">
        <f>IF(ISBLANK(PriceData!J4),"",PriceData!J4)</f>
        <v/>
      </c>
      <c r="K6" s="1" t="str">
        <f>IF(ISBLANK(PriceData!K4),"",PriceData!K4)</f>
        <v/>
      </c>
      <c r="L6" s="1" t="str">
        <f>IF(ISBLANK(PriceData!L4),"",PriceData!L4)</f>
        <v/>
      </c>
      <c r="M6" s="1" t="str">
        <f>IF(ISBLANK(PriceData!M4),"",PriceData!M4)</f>
        <v/>
      </c>
      <c r="N6" s="1" t="str">
        <f>IF(ISBLANK(PriceData!N4),"",PriceData!N4)</f>
        <v/>
      </c>
      <c r="O6" s="1" t="str">
        <f>IF(ISBLANK(PriceData!O4),"",PriceData!O4)</f>
        <v/>
      </c>
      <c r="P6" s="1" t="str">
        <f>IF(ISBLANK(PriceData!P4),"",PriceData!P4)</f>
        <v/>
      </c>
      <c r="Q6" s="1" t="str">
        <f>IF(ISBLANK(PriceData!Q4),"",PriceData!Q4)</f>
        <v/>
      </c>
      <c r="R6" s="1" t="str">
        <f>IF(ISBLANK(PriceData!R4),"",PriceData!R4)</f>
        <v/>
      </c>
      <c r="S6" s="1" t="str">
        <f>IF(ISBLANK(PriceData!S4),"",PriceData!S4)</f>
        <v/>
      </c>
      <c r="T6" s="1" t="str">
        <f>IF(ISBLANK(PriceData!T4),"",PriceData!T4)</f>
        <v/>
      </c>
      <c r="U6" s="1" t="str">
        <f>IF(ISBLANK(PriceData!U4),"",PriceData!U4)</f>
        <v/>
      </c>
      <c r="V6" s="1" t="str">
        <f>IF(ISBLANK(PriceData!V4),"",PriceData!V4)</f>
        <v/>
      </c>
      <c r="W6" s="1" t="str">
        <f>IF(ISBLANK(PriceData!W4),"",PriceData!W4)</f>
        <v/>
      </c>
      <c r="X6" s="1" t="str">
        <f>IF(ISBLANK(PriceData!X4),"",PriceData!X4)</f>
        <v/>
      </c>
      <c r="Y6" s="1" t="str">
        <f>IF(ISBLANK(PriceData!Y4),"",PriceData!Y4)</f>
        <v/>
      </c>
      <c r="Z6" s="1" t="str">
        <f>IF(ISBLANK(PriceData!Z4),"",PriceData!Z4)</f>
        <v/>
      </c>
      <c r="AA6" s="1" t="str">
        <f>IF(ISBLANK(PriceData!AA4),"",PriceData!AA4)</f>
        <v/>
      </c>
      <c r="AB6" s="1" t="str">
        <f>IF(ISBLANK(PriceData!AB4),"",PriceData!AB4)</f>
        <v/>
      </c>
      <c r="AC6" s="1" t="str">
        <f>IF(ISBLANK(PriceData!AC4),"",PriceData!AC4)</f>
        <v/>
      </c>
      <c r="AD6" s="1" t="str">
        <f>IF(ISBLANK(PriceData!AD4),"",PriceData!AD4)</f>
        <v/>
      </c>
      <c r="AE6" s="1" t="str">
        <f>IF(ISBLANK(PriceData!AE4),"",PriceData!AE4)</f>
        <v/>
      </c>
      <c r="AF6" s="1" t="str">
        <f>IF(ISBLANK(PriceData!AF4),"",PriceData!AF4)</f>
        <v/>
      </c>
      <c r="AG6" s="1" t="str">
        <f>IF(ISBLANK(PriceData!AG4),"",PriceData!AG4)</f>
        <v/>
      </c>
      <c r="AH6" s="1" t="str">
        <f>IF(ISBLANK(PriceData!AH4),"",PriceData!AH4)</f>
        <v/>
      </c>
      <c r="AI6" s="1" t="str">
        <f>IF(ISBLANK(PriceData!AI4),"",PriceData!AI4)</f>
        <v/>
      </c>
      <c r="AJ6" s="1" t="str">
        <f>IF(ISBLANK(PriceData!AJ4),"",PriceData!AJ4)</f>
        <v/>
      </c>
      <c r="AK6" s="1" t="str">
        <f>IF(ISBLANK(PriceData!AK4),"",PriceData!AK4)</f>
        <v/>
      </c>
      <c r="AL6" s="1" t="str">
        <f>IF(ISBLANK(PriceData!AL4),"",PriceData!AL4)</f>
        <v/>
      </c>
      <c r="AM6" s="1" t="str">
        <f>IF(ISBLANK(PriceData!AM4),"",PriceData!AM4)</f>
        <v/>
      </c>
      <c r="AN6" s="1" t="str">
        <f>IF(ISBLANK(PriceData!AN4),"",PriceData!AN4)</f>
        <v/>
      </c>
      <c r="AO6" s="1" t="str">
        <f>IF(ISBLANK(PriceData!AO4),"",PriceData!AO4)</f>
        <v/>
      </c>
      <c r="AP6" s="1" t="str">
        <f>IF(ISBLANK(PriceData!AP4),"",PriceData!AP4)</f>
        <v/>
      </c>
      <c r="AQ6" s="1" t="str">
        <f>IF(ISBLANK(PriceData!AQ4),"",PriceData!AQ4)</f>
        <v/>
      </c>
      <c r="AR6" s="1" t="str">
        <f>IF(ISBLANK(PriceData!AR4),"",PriceData!AR4)</f>
        <v/>
      </c>
      <c r="AS6" s="1" t="str">
        <f>IF(ISBLANK(PriceData!AS4),"",PriceData!AS4)</f>
        <v/>
      </c>
      <c r="AT6" s="1" t="str">
        <f>IF(ISBLANK(PriceData!AT4),"",PriceData!AT4)</f>
        <v/>
      </c>
      <c r="AU6" s="1" t="str">
        <f>IF(ISBLANK(PriceData!AU4),"",PriceData!AU4)</f>
        <v/>
      </c>
      <c r="AV6" s="1" t="str">
        <f>IF(ISBLANK(PriceData!AV4),"",PriceData!AV4)</f>
        <v/>
      </c>
      <c r="AW6" s="1" t="str">
        <f>IF(ISBLANK(PriceData!AW4),"",PriceData!AW4)</f>
        <v/>
      </c>
      <c r="AX6" s="1" t="str">
        <f>IF(ISBLANK(PriceData!AX4),"",PriceData!AX4)</f>
        <v/>
      </c>
      <c r="AY6" s="1" t="str">
        <f>IF(ISBLANK(PriceData!AY4),"",PriceData!AY4)</f>
        <v/>
      </c>
      <c r="AZ6" s="1" t="str">
        <f>IF(ISBLANK(PriceData!AZ4),"",PriceData!AZ4)</f>
        <v/>
      </c>
      <c r="BA6" s="1" t="str">
        <f>IF(ISBLANK(PriceData!BA4),"",PriceData!BA4)</f>
        <v/>
      </c>
      <c r="BB6" s="1" t="str">
        <f>IF(ISBLANK(PriceData!BB4),"",PriceData!BB4)</f>
        <v/>
      </c>
      <c r="BC6" s="1" t="str">
        <f>IF(ISBLANK(PriceData!BC4),"",PriceData!BC4)</f>
        <v/>
      </c>
      <c r="BD6" s="1" t="str">
        <f>IF(ISBLANK(PriceData!BD4),"",PriceData!BD4)</f>
        <v/>
      </c>
      <c r="BE6" s="1" t="str">
        <f>IF(ISBLANK(PriceData!BE4),"",PriceData!BE4)</f>
        <v/>
      </c>
      <c r="BF6" s="1" t="str">
        <f>IF(ISBLANK(PriceData!BF4),"",PriceData!BF4)</f>
        <v/>
      </c>
      <c r="BG6" s="1" t="str">
        <f>IF(ISBLANK(PriceData!BG4),"",PriceData!BG4)</f>
        <v/>
      </c>
      <c r="BH6" s="1" t="str">
        <f>IF(ISBLANK(PriceData!BH4),"",PriceData!BH4)</f>
        <v/>
      </c>
      <c r="BI6" s="1" t="str">
        <f>IF(ISBLANK(PriceData!BI4),"",PriceData!BI4)</f>
        <v/>
      </c>
      <c r="BJ6" s="1" t="str">
        <f>IF(ISBLANK(PriceData!BJ4),"",PriceData!BJ4)</f>
        <v/>
      </c>
      <c r="BK6" s="1" t="str">
        <f>IF(ISBLANK(PriceData!BK4),"",PriceData!BK4)</f>
        <v/>
      </c>
      <c r="BL6" s="1" t="str">
        <f>IF(ISBLANK(PriceData!BL4),"",PriceData!BL4)</f>
        <v/>
      </c>
      <c r="BM6" s="1" t="str">
        <f>IF(ISBLANK(PriceData!BM4),"",PriceData!BM4)</f>
        <v/>
      </c>
      <c r="BN6" s="1" t="str">
        <f>IF(ISBLANK(PriceData!BN4),"",PriceData!BN4)</f>
        <v/>
      </c>
      <c r="BO6" s="1" t="str">
        <f>IF(ISBLANK(PriceData!BO4),"",PriceData!BO4)</f>
        <v/>
      </c>
      <c r="BP6" s="1" t="str">
        <f>IF(ISBLANK(PriceData!BP4),"",PriceData!BP4)</f>
        <v/>
      </c>
      <c r="BQ6" s="1" t="str">
        <f>IF(ISBLANK(PriceData!BQ4),"",PriceData!BQ4)</f>
        <v/>
      </c>
      <c r="BR6" s="1" t="str">
        <f>IF(ISBLANK(PriceData!BR4),"",PriceData!BR4)</f>
        <v/>
      </c>
      <c r="BS6" s="1" t="str">
        <f>IF(ISBLANK(PriceData!BS4),"",PriceData!BS4)</f>
        <v/>
      </c>
      <c r="BT6" s="1" t="str">
        <f>IF(ISBLANK(PriceData!BT4),"",PriceData!BT4)</f>
        <v/>
      </c>
      <c r="BU6" s="1" t="str">
        <f>IF(ISBLANK(PriceData!BU4),"",PriceData!BU4)</f>
        <v/>
      </c>
      <c r="BV6" s="1" t="str">
        <f>IF(ISBLANK(PriceData!BV4),"",PriceData!BV4)</f>
        <v/>
      </c>
      <c r="BW6" s="1" t="str">
        <f>IF(ISBLANK(PriceData!BW4),"",PriceData!BW4)</f>
        <v/>
      </c>
      <c r="BX6" s="1" t="str">
        <f>IF(ISBLANK(PriceData!BX4),"",PriceData!BX4)</f>
        <v/>
      </c>
      <c r="BY6" s="1" t="str">
        <f>IF(ISBLANK(PriceData!BY4),"",PriceData!BY4)</f>
        <v/>
      </c>
      <c r="BZ6" s="1" t="str">
        <f>IF(ISBLANK(PriceData!BZ4),"",PriceData!BZ4)</f>
        <v/>
      </c>
      <c r="CA6" s="1" t="str">
        <f>IF(ISBLANK(PriceData!CA4),"",PriceData!CA4)</f>
        <v/>
      </c>
      <c r="CB6" s="1" t="str">
        <f>IF(ISBLANK(PriceData!CB4),"",PriceData!CB4)</f>
        <v/>
      </c>
      <c r="CC6" s="1" t="str">
        <f>IF(ISBLANK(PriceData!CC4),"",PriceData!CC4)</f>
        <v/>
      </c>
      <c r="CD6" s="1" t="str">
        <f>IF(ISBLANK(PriceData!CD4),"",PriceData!CD4)</f>
        <v/>
      </c>
      <c r="CE6" s="1" t="str">
        <f>IF(ISBLANK(PriceData!CE4),"",PriceData!CE4)</f>
        <v/>
      </c>
      <c r="CF6" s="1" t="str">
        <f>IF(ISBLANK(PriceData!CF4),"",PriceData!CF4)</f>
        <v/>
      </c>
      <c r="CG6" s="1" t="str">
        <f>IF(ISBLANK(PriceData!CG4),"",PriceData!CG4)</f>
        <v/>
      </c>
      <c r="CH6" s="1" t="str">
        <f>IF(ISBLANK(PriceData!CH4),"",PriceData!CH4)</f>
        <v/>
      </c>
      <c r="CI6" s="1" t="str">
        <f>IF(ISBLANK(PriceData!CI4),"",PriceData!CI4)</f>
        <v/>
      </c>
      <c r="CJ6" s="1" t="str">
        <f>IF(ISBLANK(PriceData!CJ4),"",PriceData!CJ4)</f>
        <v/>
      </c>
      <c r="CK6" s="1" t="str">
        <f>IF(ISBLANK(PriceData!CK4),"",PriceData!CK4)</f>
        <v/>
      </c>
      <c r="CL6" s="1" t="str">
        <f>IF(ISBLANK(PriceData!CL4),"",PriceData!CL4)</f>
        <v/>
      </c>
      <c r="CM6" s="1" t="str">
        <f>IF(ISBLANK(PriceData!CM4),"",PriceData!CM4)</f>
        <v/>
      </c>
      <c r="CN6" s="1" t="str">
        <f>IF(ISBLANK(PriceData!CN4),"",PriceData!CN4)</f>
        <v/>
      </c>
    </row>
    <row r="7" spans="1:92" x14ac:dyDescent="0.25">
      <c r="B7" s="1" t="str">
        <f>IF(ISBLANK(PriceData!A5),"",PriceData!A5)</f>
        <v>TEST_OANDA_GBPUSD</v>
      </c>
      <c r="C7" s="1">
        <f>IF(ISBLANK(PriceData!C5),"",PriceData!C5)</f>
        <v>1</v>
      </c>
      <c r="D7" s="1">
        <f>IF(ISBLANK(PriceData!D5),"",PriceData!D5)</f>
        <v>1.63225</v>
      </c>
      <c r="E7" s="1">
        <f>IF(ISBLANK(PriceData!E5),"",PriceData!E5)</f>
        <v>1</v>
      </c>
      <c r="F7" s="1">
        <f>IF(ISBLANK(PriceData!F5),"",PriceData!F5)</f>
        <v>1.6331500000000001</v>
      </c>
      <c r="G7" s="1" t="str">
        <f>IF(ISBLANK(PriceData!G5),"",PriceData!G5)</f>
        <v/>
      </c>
      <c r="H7" s="1" t="str">
        <f>IF(ISBLANK(PriceData!H5),"",PriceData!H5)</f>
        <v/>
      </c>
      <c r="I7" s="1" t="str">
        <f>IF(ISBLANK(PriceData!I5),"",PriceData!I5)</f>
        <v/>
      </c>
      <c r="J7" s="1" t="str">
        <f>IF(ISBLANK(PriceData!J5),"",PriceData!J5)</f>
        <v/>
      </c>
      <c r="K7" s="1" t="str">
        <f>IF(ISBLANK(PriceData!K5),"",PriceData!K5)</f>
        <v/>
      </c>
      <c r="L7" s="1" t="str">
        <f>IF(ISBLANK(PriceData!L5),"",PriceData!L5)</f>
        <v/>
      </c>
      <c r="M7" s="1" t="str">
        <f>IF(ISBLANK(PriceData!M5),"",PriceData!M5)</f>
        <v/>
      </c>
      <c r="N7" s="1" t="str">
        <f>IF(ISBLANK(PriceData!N5),"",PriceData!N5)</f>
        <v/>
      </c>
      <c r="O7" s="1" t="str">
        <f>IF(ISBLANK(PriceData!O5),"",PriceData!O5)</f>
        <v/>
      </c>
      <c r="P7" s="1" t="str">
        <f>IF(ISBLANK(PriceData!P5),"",PriceData!P5)</f>
        <v/>
      </c>
      <c r="Q7" s="1" t="str">
        <f>IF(ISBLANK(PriceData!Q5),"",PriceData!Q5)</f>
        <v/>
      </c>
      <c r="R7" s="1" t="str">
        <f>IF(ISBLANK(PriceData!R5),"",PriceData!R5)</f>
        <v/>
      </c>
      <c r="S7" s="1" t="str">
        <f>IF(ISBLANK(PriceData!S5),"",PriceData!S5)</f>
        <v/>
      </c>
      <c r="T7" s="1" t="str">
        <f>IF(ISBLANK(PriceData!T5),"",PriceData!T5)</f>
        <v/>
      </c>
      <c r="U7" s="1" t="str">
        <f>IF(ISBLANK(PriceData!U5),"",PriceData!U5)</f>
        <v/>
      </c>
      <c r="V7" s="1" t="str">
        <f>IF(ISBLANK(PriceData!V5),"",PriceData!V5)</f>
        <v/>
      </c>
      <c r="W7" s="1" t="str">
        <f>IF(ISBLANK(PriceData!W5),"",PriceData!W5)</f>
        <v/>
      </c>
      <c r="X7" s="1" t="str">
        <f>IF(ISBLANK(PriceData!X5),"",PriceData!X5)</f>
        <v/>
      </c>
      <c r="Y7" s="1" t="str">
        <f>IF(ISBLANK(PriceData!Y5),"",PriceData!Y5)</f>
        <v/>
      </c>
      <c r="Z7" s="1" t="str">
        <f>IF(ISBLANK(PriceData!Z5),"",PriceData!Z5)</f>
        <v/>
      </c>
      <c r="AA7" s="1" t="str">
        <f>IF(ISBLANK(PriceData!AA5),"",PriceData!AA5)</f>
        <v/>
      </c>
      <c r="AB7" s="1" t="str">
        <f>IF(ISBLANK(PriceData!AB5),"",PriceData!AB5)</f>
        <v/>
      </c>
      <c r="AC7" s="1" t="str">
        <f>IF(ISBLANK(PriceData!AC5),"",PriceData!AC5)</f>
        <v/>
      </c>
      <c r="AD7" s="1" t="str">
        <f>IF(ISBLANK(PriceData!AD5),"",PriceData!AD5)</f>
        <v/>
      </c>
      <c r="AE7" s="1" t="str">
        <f>IF(ISBLANK(PriceData!AE5),"",PriceData!AE5)</f>
        <v/>
      </c>
      <c r="AF7" s="1" t="str">
        <f>IF(ISBLANK(PriceData!AF5),"",PriceData!AF5)</f>
        <v/>
      </c>
      <c r="AG7" s="1" t="str">
        <f>IF(ISBLANK(PriceData!AG5),"",PriceData!AG5)</f>
        <v/>
      </c>
      <c r="AH7" s="1" t="str">
        <f>IF(ISBLANK(PriceData!AH5),"",PriceData!AH5)</f>
        <v/>
      </c>
      <c r="AI7" s="1" t="str">
        <f>IF(ISBLANK(PriceData!AI5),"",PriceData!AI5)</f>
        <v/>
      </c>
      <c r="AJ7" s="1" t="str">
        <f>IF(ISBLANK(PriceData!AJ5),"",PriceData!AJ5)</f>
        <v/>
      </c>
      <c r="AK7" s="1" t="str">
        <f>IF(ISBLANK(PriceData!AK5),"",PriceData!AK5)</f>
        <v/>
      </c>
      <c r="AL7" s="1" t="str">
        <f>IF(ISBLANK(PriceData!AL5),"",PriceData!AL5)</f>
        <v/>
      </c>
      <c r="AM7" s="1" t="str">
        <f>IF(ISBLANK(PriceData!AM5),"",PriceData!AM5)</f>
        <v/>
      </c>
      <c r="AN7" s="1" t="str">
        <f>IF(ISBLANK(PriceData!AN5),"",PriceData!AN5)</f>
        <v/>
      </c>
      <c r="AO7" s="1" t="str">
        <f>IF(ISBLANK(PriceData!AO5),"",PriceData!AO5)</f>
        <v/>
      </c>
      <c r="AP7" s="1" t="str">
        <f>IF(ISBLANK(PriceData!AP5),"",PriceData!AP5)</f>
        <v/>
      </c>
      <c r="AQ7" s="1" t="str">
        <f>IF(ISBLANK(PriceData!AQ5),"",PriceData!AQ5)</f>
        <v/>
      </c>
      <c r="AR7" s="1" t="str">
        <f>IF(ISBLANK(PriceData!AR5),"",PriceData!AR5)</f>
        <v/>
      </c>
      <c r="AS7" s="1" t="str">
        <f>IF(ISBLANK(PriceData!AS5),"",PriceData!AS5)</f>
        <v/>
      </c>
      <c r="AT7" s="1" t="str">
        <f>IF(ISBLANK(PriceData!AT5),"",PriceData!AT5)</f>
        <v/>
      </c>
      <c r="AU7" s="1" t="str">
        <f>IF(ISBLANK(PriceData!AU5),"",PriceData!AU5)</f>
        <v/>
      </c>
      <c r="AV7" s="1" t="str">
        <f>IF(ISBLANK(PriceData!AV5),"",PriceData!AV5)</f>
        <v/>
      </c>
      <c r="AW7" s="1" t="str">
        <f>IF(ISBLANK(PriceData!AW5),"",PriceData!AW5)</f>
        <v/>
      </c>
      <c r="AX7" s="1" t="str">
        <f>IF(ISBLANK(PriceData!AX5),"",PriceData!AX5)</f>
        <v/>
      </c>
      <c r="AY7" s="1" t="str">
        <f>IF(ISBLANK(PriceData!AY5),"",PriceData!AY5)</f>
        <v/>
      </c>
      <c r="AZ7" s="1" t="str">
        <f>IF(ISBLANK(PriceData!AZ5),"",PriceData!AZ5)</f>
        <v/>
      </c>
      <c r="BA7" s="1" t="str">
        <f>IF(ISBLANK(PriceData!BA5),"",PriceData!BA5)</f>
        <v/>
      </c>
      <c r="BB7" s="1" t="str">
        <f>IF(ISBLANK(PriceData!BB5),"",PriceData!BB5)</f>
        <v/>
      </c>
      <c r="BC7" s="1" t="str">
        <f>IF(ISBLANK(PriceData!BC5),"",PriceData!BC5)</f>
        <v/>
      </c>
      <c r="BD7" s="1" t="str">
        <f>IF(ISBLANK(PriceData!BD5),"",PriceData!BD5)</f>
        <v/>
      </c>
      <c r="BE7" s="1" t="str">
        <f>IF(ISBLANK(PriceData!BE5),"",PriceData!BE5)</f>
        <v/>
      </c>
      <c r="BF7" s="1" t="str">
        <f>IF(ISBLANK(PriceData!BF5),"",PriceData!BF5)</f>
        <v/>
      </c>
      <c r="BG7" s="1" t="str">
        <f>IF(ISBLANK(PriceData!BG5),"",PriceData!BG5)</f>
        <v/>
      </c>
      <c r="BH7" s="1" t="str">
        <f>IF(ISBLANK(PriceData!BH5),"",PriceData!BH5)</f>
        <v/>
      </c>
      <c r="BI7" s="1" t="str">
        <f>IF(ISBLANK(PriceData!BI5),"",PriceData!BI5)</f>
        <v/>
      </c>
      <c r="BJ7" s="1" t="str">
        <f>IF(ISBLANK(PriceData!BJ5),"",PriceData!BJ5)</f>
        <v/>
      </c>
      <c r="BK7" s="1" t="str">
        <f>IF(ISBLANK(PriceData!BK5),"",PriceData!BK5)</f>
        <v/>
      </c>
      <c r="BL7" s="1" t="str">
        <f>IF(ISBLANK(PriceData!BL5),"",PriceData!BL5)</f>
        <v/>
      </c>
      <c r="BM7" s="1" t="str">
        <f>IF(ISBLANK(PriceData!BM5),"",PriceData!BM5)</f>
        <v/>
      </c>
      <c r="BN7" s="1" t="str">
        <f>IF(ISBLANK(PriceData!BN5),"",PriceData!BN5)</f>
        <v/>
      </c>
      <c r="BO7" s="1" t="str">
        <f>IF(ISBLANK(PriceData!BO5),"",PriceData!BO5)</f>
        <v/>
      </c>
      <c r="BP7" s="1" t="str">
        <f>IF(ISBLANK(PriceData!BP5),"",PriceData!BP5)</f>
        <v/>
      </c>
      <c r="BQ7" s="1" t="str">
        <f>IF(ISBLANK(PriceData!BQ5),"",PriceData!BQ5)</f>
        <v/>
      </c>
      <c r="BR7" s="1" t="str">
        <f>IF(ISBLANK(PriceData!BR5),"",PriceData!BR5)</f>
        <v/>
      </c>
      <c r="BS7" s="1" t="str">
        <f>IF(ISBLANK(PriceData!BS5),"",PriceData!BS5)</f>
        <v/>
      </c>
      <c r="BT7" s="1" t="str">
        <f>IF(ISBLANK(PriceData!BT5),"",PriceData!BT5)</f>
        <v/>
      </c>
      <c r="BU7" s="1" t="str">
        <f>IF(ISBLANK(PriceData!BU5),"",PriceData!BU5)</f>
        <v/>
      </c>
      <c r="BV7" s="1" t="str">
        <f>IF(ISBLANK(PriceData!BV5),"",PriceData!BV5)</f>
        <v/>
      </c>
      <c r="BW7" s="1" t="str">
        <f>IF(ISBLANK(PriceData!BW5),"",PriceData!BW5)</f>
        <v/>
      </c>
      <c r="BX7" s="1" t="str">
        <f>IF(ISBLANK(PriceData!BX5),"",PriceData!BX5)</f>
        <v/>
      </c>
      <c r="BY7" s="1" t="str">
        <f>IF(ISBLANK(PriceData!BY5),"",PriceData!BY5)</f>
        <v/>
      </c>
      <c r="BZ7" s="1" t="str">
        <f>IF(ISBLANK(PriceData!BZ5),"",PriceData!BZ5)</f>
        <v/>
      </c>
      <c r="CA7" s="1" t="str">
        <f>IF(ISBLANK(PriceData!CA5),"",PriceData!CA5)</f>
        <v/>
      </c>
      <c r="CB7" s="1" t="str">
        <f>IF(ISBLANK(PriceData!CB5),"",PriceData!CB5)</f>
        <v/>
      </c>
      <c r="CC7" s="1" t="str">
        <f>IF(ISBLANK(PriceData!CC5),"",PriceData!CC5)</f>
        <v/>
      </c>
      <c r="CD7" s="1" t="str">
        <f>IF(ISBLANK(PriceData!CD5),"",PriceData!CD5)</f>
        <v/>
      </c>
      <c r="CE7" s="1" t="str">
        <f>IF(ISBLANK(PriceData!CE5),"",PriceData!CE5)</f>
        <v/>
      </c>
      <c r="CF7" s="1" t="str">
        <f>IF(ISBLANK(PriceData!CF5),"",PriceData!CF5)</f>
        <v/>
      </c>
      <c r="CG7" s="1" t="str">
        <f>IF(ISBLANK(PriceData!CG5),"",PriceData!CG5)</f>
        <v/>
      </c>
      <c r="CH7" s="1" t="str">
        <f>IF(ISBLANK(PriceData!CH5),"",PriceData!CH5)</f>
        <v/>
      </c>
      <c r="CI7" s="1" t="str">
        <f>IF(ISBLANK(PriceData!CI5),"",PriceData!CI5)</f>
        <v/>
      </c>
      <c r="CJ7" s="1" t="str">
        <f>IF(ISBLANK(PriceData!CJ5),"",PriceData!CJ5)</f>
        <v/>
      </c>
      <c r="CK7" s="1" t="str">
        <f>IF(ISBLANK(PriceData!CK5),"",PriceData!CK5)</f>
        <v/>
      </c>
      <c r="CL7" s="1" t="str">
        <f>IF(ISBLANK(PriceData!CL5),"",PriceData!CL5)</f>
        <v/>
      </c>
      <c r="CM7" s="1" t="str">
        <f>IF(ISBLANK(PriceData!CM5),"",PriceData!CM5)</f>
        <v/>
      </c>
      <c r="CN7" s="1" t="str">
        <f>IF(ISBLANK(PriceData!CN5),"",PriceData!CN5)</f>
        <v/>
      </c>
    </row>
    <row r="8" spans="1:92" x14ac:dyDescent="0.25">
      <c r="B8" s="1" t="str">
        <f>IF(ISBLANK(PriceData!A6),"",PriceData!A6)</f>
        <v>TEST_OANDA_GBPJPY</v>
      </c>
      <c r="C8" s="1">
        <f>IF(ISBLANK(PriceData!C6),"",PriceData!C6)</f>
        <v>1</v>
      </c>
      <c r="D8" s="1">
        <f>IF(ISBLANK(PriceData!D6),"",PriceData!D6)</f>
        <v>171.53700000000001</v>
      </c>
      <c r="E8" s="1">
        <f>IF(ISBLANK(PriceData!E6),"",PriceData!E6)</f>
        <v>1</v>
      </c>
      <c r="F8" s="1">
        <f>IF(ISBLANK(PriceData!F6),"",PriceData!F6)</f>
        <v>171.619</v>
      </c>
      <c r="G8" s="1" t="str">
        <f>IF(ISBLANK(PriceData!G6),"",PriceData!G6)</f>
        <v/>
      </c>
      <c r="H8" s="1" t="str">
        <f>IF(ISBLANK(PriceData!H6),"",PriceData!H6)</f>
        <v/>
      </c>
      <c r="I8" s="1" t="str">
        <f>IF(ISBLANK(PriceData!I6),"",PriceData!I6)</f>
        <v/>
      </c>
      <c r="J8" s="1" t="str">
        <f>IF(ISBLANK(PriceData!J6),"",PriceData!J6)</f>
        <v/>
      </c>
      <c r="K8" s="1" t="str">
        <f>IF(ISBLANK(PriceData!K6),"",PriceData!K6)</f>
        <v/>
      </c>
      <c r="L8" s="1" t="str">
        <f>IF(ISBLANK(PriceData!L6),"",PriceData!L6)</f>
        <v/>
      </c>
      <c r="M8" s="1" t="str">
        <f>IF(ISBLANK(PriceData!M6),"",PriceData!M6)</f>
        <v/>
      </c>
      <c r="N8" s="1" t="str">
        <f>IF(ISBLANK(PriceData!N6),"",PriceData!N6)</f>
        <v/>
      </c>
      <c r="O8" s="1" t="str">
        <f>IF(ISBLANK(PriceData!O6),"",PriceData!O6)</f>
        <v/>
      </c>
      <c r="P8" s="1" t="str">
        <f>IF(ISBLANK(PriceData!P6),"",PriceData!P6)</f>
        <v/>
      </c>
      <c r="Q8" s="1" t="str">
        <f>IF(ISBLANK(PriceData!Q6),"",PriceData!Q6)</f>
        <v/>
      </c>
      <c r="R8" s="1" t="str">
        <f>IF(ISBLANK(PriceData!R6),"",PriceData!R6)</f>
        <v/>
      </c>
      <c r="S8" s="1" t="str">
        <f>IF(ISBLANK(PriceData!S6),"",PriceData!S6)</f>
        <v/>
      </c>
      <c r="T8" s="1" t="str">
        <f>IF(ISBLANK(PriceData!T6),"",PriceData!T6)</f>
        <v/>
      </c>
      <c r="U8" s="1" t="str">
        <f>IF(ISBLANK(PriceData!U6),"",PriceData!U6)</f>
        <v/>
      </c>
      <c r="V8" s="1" t="str">
        <f>IF(ISBLANK(PriceData!V6),"",PriceData!V6)</f>
        <v/>
      </c>
      <c r="W8" s="1" t="str">
        <f>IF(ISBLANK(PriceData!W6),"",PriceData!W6)</f>
        <v/>
      </c>
      <c r="X8" s="1" t="str">
        <f>IF(ISBLANK(PriceData!X6),"",PriceData!X6)</f>
        <v/>
      </c>
      <c r="Y8" s="1" t="str">
        <f>IF(ISBLANK(PriceData!Y6),"",PriceData!Y6)</f>
        <v/>
      </c>
      <c r="Z8" s="1" t="str">
        <f>IF(ISBLANK(PriceData!Z6),"",PriceData!Z6)</f>
        <v/>
      </c>
      <c r="AA8" s="1" t="str">
        <f>IF(ISBLANK(PriceData!AA6),"",PriceData!AA6)</f>
        <v/>
      </c>
      <c r="AB8" s="1" t="str">
        <f>IF(ISBLANK(PriceData!AB6),"",PriceData!AB6)</f>
        <v/>
      </c>
      <c r="AC8" s="1" t="str">
        <f>IF(ISBLANK(PriceData!AC6),"",PriceData!AC6)</f>
        <v/>
      </c>
      <c r="AD8" s="1" t="str">
        <f>IF(ISBLANK(PriceData!AD6),"",PriceData!AD6)</f>
        <v/>
      </c>
      <c r="AE8" s="1" t="str">
        <f>IF(ISBLANK(PriceData!AE6),"",PriceData!AE6)</f>
        <v/>
      </c>
      <c r="AF8" s="1" t="str">
        <f>IF(ISBLANK(PriceData!AF6),"",PriceData!AF6)</f>
        <v/>
      </c>
      <c r="AG8" s="1" t="str">
        <f>IF(ISBLANK(PriceData!AG6),"",PriceData!AG6)</f>
        <v/>
      </c>
      <c r="AH8" s="1" t="str">
        <f>IF(ISBLANK(PriceData!AH6),"",PriceData!AH6)</f>
        <v/>
      </c>
      <c r="AI8" s="1" t="str">
        <f>IF(ISBLANK(PriceData!AI6),"",PriceData!AI6)</f>
        <v/>
      </c>
      <c r="AJ8" s="1" t="str">
        <f>IF(ISBLANK(PriceData!AJ6),"",PriceData!AJ6)</f>
        <v/>
      </c>
      <c r="AK8" s="1" t="str">
        <f>IF(ISBLANK(PriceData!AK6),"",PriceData!AK6)</f>
        <v/>
      </c>
      <c r="AL8" s="1" t="str">
        <f>IF(ISBLANK(PriceData!AL6),"",PriceData!AL6)</f>
        <v/>
      </c>
      <c r="AM8" s="1" t="str">
        <f>IF(ISBLANK(PriceData!AM6),"",PriceData!AM6)</f>
        <v/>
      </c>
      <c r="AN8" s="1" t="str">
        <f>IF(ISBLANK(PriceData!AN6),"",PriceData!AN6)</f>
        <v/>
      </c>
      <c r="AO8" s="1" t="str">
        <f>IF(ISBLANK(PriceData!AO6),"",PriceData!AO6)</f>
        <v/>
      </c>
      <c r="AP8" s="1" t="str">
        <f>IF(ISBLANK(PriceData!AP6),"",PriceData!AP6)</f>
        <v/>
      </c>
      <c r="AQ8" s="1" t="str">
        <f>IF(ISBLANK(PriceData!AQ6),"",PriceData!AQ6)</f>
        <v/>
      </c>
      <c r="AR8" s="1" t="str">
        <f>IF(ISBLANK(PriceData!AR6),"",PriceData!AR6)</f>
        <v/>
      </c>
      <c r="AS8" s="1" t="str">
        <f>IF(ISBLANK(PriceData!AS6),"",PriceData!AS6)</f>
        <v/>
      </c>
      <c r="AT8" s="1" t="str">
        <f>IF(ISBLANK(PriceData!AT6),"",PriceData!AT6)</f>
        <v/>
      </c>
      <c r="AU8" s="1" t="str">
        <f>IF(ISBLANK(PriceData!AU6),"",PriceData!AU6)</f>
        <v/>
      </c>
      <c r="AV8" s="1" t="str">
        <f>IF(ISBLANK(PriceData!AV6),"",PriceData!AV6)</f>
        <v/>
      </c>
      <c r="AW8" s="1" t="str">
        <f>IF(ISBLANK(PriceData!AW6),"",PriceData!AW6)</f>
        <v/>
      </c>
      <c r="AX8" s="1" t="str">
        <f>IF(ISBLANK(PriceData!AX6),"",PriceData!AX6)</f>
        <v/>
      </c>
      <c r="AY8" s="1" t="str">
        <f>IF(ISBLANK(PriceData!AY6),"",PriceData!AY6)</f>
        <v/>
      </c>
      <c r="AZ8" s="1" t="str">
        <f>IF(ISBLANK(PriceData!AZ6),"",PriceData!AZ6)</f>
        <v/>
      </c>
      <c r="BA8" s="1" t="str">
        <f>IF(ISBLANK(PriceData!BA6),"",PriceData!BA6)</f>
        <v/>
      </c>
      <c r="BB8" s="1" t="str">
        <f>IF(ISBLANK(PriceData!BB6),"",PriceData!BB6)</f>
        <v/>
      </c>
      <c r="BC8" s="1" t="str">
        <f>IF(ISBLANK(PriceData!BC6),"",PriceData!BC6)</f>
        <v/>
      </c>
      <c r="BD8" s="1" t="str">
        <f>IF(ISBLANK(PriceData!BD6),"",PriceData!BD6)</f>
        <v/>
      </c>
      <c r="BE8" s="1" t="str">
        <f>IF(ISBLANK(PriceData!BE6),"",PriceData!BE6)</f>
        <v/>
      </c>
      <c r="BF8" s="1" t="str">
        <f>IF(ISBLANK(PriceData!BF6),"",PriceData!BF6)</f>
        <v/>
      </c>
      <c r="BG8" s="1" t="str">
        <f>IF(ISBLANK(PriceData!BG6),"",PriceData!BG6)</f>
        <v/>
      </c>
      <c r="BH8" s="1" t="str">
        <f>IF(ISBLANK(PriceData!BH6),"",PriceData!BH6)</f>
        <v/>
      </c>
      <c r="BI8" s="1" t="str">
        <f>IF(ISBLANK(PriceData!BI6),"",PriceData!BI6)</f>
        <v/>
      </c>
      <c r="BJ8" s="1" t="str">
        <f>IF(ISBLANK(PriceData!BJ6),"",PriceData!BJ6)</f>
        <v/>
      </c>
      <c r="BK8" s="1" t="str">
        <f>IF(ISBLANK(PriceData!BK6),"",PriceData!BK6)</f>
        <v/>
      </c>
      <c r="BL8" s="1" t="str">
        <f>IF(ISBLANK(PriceData!BL6),"",PriceData!BL6)</f>
        <v/>
      </c>
      <c r="BM8" s="1" t="str">
        <f>IF(ISBLANK(PriceData!BM6),"",PriceData!BM6)</f>
        <v/>
      </c>
      <c r="BN8" s="1" t="str">
        <f>IF(ISBLANK(PriceData!BN6),"",PriceData!BN6)</f>
        <v/>
      </c>
      <c r="BO8" s="1" t="str">
        <f>IF(ISBLANK(PriceData!BO6),"",PriceData!BO6)</f>
        <v/>
      </c>
      <c r="BP8" s="1" t="str">
        <f>IF(ISBLANK(PriceData!BP6),"",PriceData!BP6)</f>
        <v/>
      </c>
      <c r="BQ8" s="1" t="str">
        <f>IF(ISBLANK(PriceData!BQ6),"",PriceData!BQ6)</f>
        <v/>
      </c>
      <c r="BR8" s="1" t="str">
        <f>IF(ISBLANK(PriceData!BR6),"",PriceData!BR6)</f>
        <v/>
      </c>
      <c r="BS8" s="1" t="str">
        <f>IF(ISBLANK(PriceData!BS6),"",PriceData!BS6)</f>
        <v/>
      </c>
      <c r="BT8" s="1" t="str">
        <f>IF(ISBLANK(PriceData!BT6),"",PriceData!BT6)</f>
        <v/>
      </c>
      <c r="BU8" s="1" t="str">
        <f>IF(ISBLANK(PriceData!BU6),"",PriceData!BU6)</f>
        <v/>
      </c>
      <c r="BV8" s="1" t="str">
        <f>IF(ISBLANK(PriceData!BV6),"",PriceData!BV6)</f>
        <v/>
      </c>
      <c r="BW8" s="1" t="str">
        <f>IF(ISBLANK(PriceData!BW6),"",PriceData!BW6)</f>
        <v/>
      </c>
      <c r="BX8" s="1" t="str">
        <f>IF(ISBLANK(PriceData!BX6),"",PriceData!BX6)</f>
        <v/>
      </c>
      <c r="BY8" s="1" t="str">
        <f>IF(ISBLANK(PriceData!BY6),"",PriceData!BY6)</f>
        <v/>
      </c>
      <c r="BZ8" s="1" t="str">
        <f>IF(ISBLANK(PriceData!BZ6),"",PriceData!BZ6)</f>
        <v/>
      </c>
      <c r="CA8" s="1" t="str">
        <f>IF(ISBLANK(PriceData!CA6),"",PriceData!CA6)</f>
        <v/>
      </c>
      <c r="CB8" s="1" t="str">
        <f>IF(ISBLANK(PriceData!CB6),"",PriceData!CB6)</f>
        <v/>
      </c>
      <c r="CC8" s="1" t="str">
        <f>IF(ISBLANK(PriceData!CC6),"",PriceData!CC6)</f>
        <v/>
      </c>
      <c r="CD8" s="1" t="str">
        <f>IF(ISBLANK(PriceData!CD6),"",PriceData!CD6)</f>
        <v/>
      </c>
      <c r="CE8" s="1" t="str">
        <f>IF(ISBLANK(PriceData!CE6),"",PriceData!CE6)</f>
        <v/>
      </c>
      <c r="CF8" s="1" t="str">
        <f>IF(ISBLANK(PriceData!CF6),"",PriceData!CF6)</f>
        <v/>
      </c>
      <c r="CG8" s="1" t="str">
        <f>IF(ISBLANK(PriceData!CG6),"",PriceData!CG6)</f>
        <v/>
      </c>
      <c r="CH8" s="1" t="str">
        <f>IF(ISBLANK(PriceData!CH6),"",PriceData!CH6)</f>
        <v/>
      </c>
      <c r="CI8" s="1" t="str">
        <f>IF(ISBLANK(PriceData!CI6),"",PriceData!CI6)</f>
        <v/>
      </c>
      <c r="CJ8" s="1" t="str">
        <f>IF(ISBLANK(PriceData!CJ6),"",PriceData!CJ6)</f>
        <v/>
      </c>
      <c r="CK8" s="1" t="str">
        <f>IF(ISBLANK(PriceData!CK6),"",PriceData!CK6)</f>
        <v/>
      </c>
      <c r="CL8" s="1" t="str">
        <f>IF(ISBLANK(PriceData!CL6),"",PriceData!CL6)</f>
        <v/>
      </c>
      <c r="CM8" s="1" t="str">
        <f>IF(ISBLANK(PriceData!CM6),"",PriceData!CM6)</f>
        <v/>
      </c>
      <c r="CN8" s="1" t="str">
        <f>IF(ISBLANK(PriceData!CN6),"",PriceData!CN6)</f>
        <v/>
      </c>
    </row>
    <row r="9" spans="1:92" x14ac:dyDescent="0.25">
      <c r="B9" s="1" t="str">
        <f>IF(ISBLANK(PriceData!A7),"",PriceData!A7)</f>
        <v>TEST_OANDA_USDJPY</v>
      </c>
      <c r="C9" s="1">
        <f>IF(ISBLANK(PriceData!C7),"",PriceData!C7)</f>
        <v>1</v>
      </c>
      <c r="D9" s="1">
        <f>IF(ISBLANK(PriceData!D7),"",PriceData!D7)</f>
        <v>105.063</v>
      </c>
      <c r="E9" s="1">
        <f>IF(ISBLANK(PriceData!E7),"",PriceData!E7)</f>
        <v>1</v>
      </c>
      <c r="F9" s="1">
        <f>IF(ISBLANK(PriceData!F7),"",PriceData!F7)</f>
        <v>105.104</v>
      </c>
      <c r="G9" s="1" t="str">
        <f>IF(ISBLANK(PriceData!G7),"",PriceData!G7)</f>
        <v/>
      </c>
      <c r="H9" s="1" t="str">
        <f>IF(ISBLANK(PriceData!H7),"",PriceData!H7)</f>
        <v/>
      </c>
      <c r="I9" s="1" t="str">
        <f>IF(ISBLANK(PriceData!I7),"",PriceData!I7)</f>
        <v/>
      </c>
      <c r="J9" s="1" t="str">
        <f>IF(ISBLANK(PriceData!J7),"",PriceData!J7)</f>
        <v/>
      </c>
      <c r="K9" s="1" t="str">
        <f>IF(ISBLANK(PriceData!K7),"",PriceData!K7)</f>
        <v/>
      </c>
      <c r="L9" s="1" t="str">
        <f>IF(ISBLANK(PriceData!L7),"",PriceData!L7)</f>
        <v/>
      </c>
      <c r="M9" s="1" t="str">
        <f>IF(ISBLANK(PriceData!M7),"",PriceData!M7)</f>
        <v/>
      </c>
      <c r="N9" s="1" t="str">
        <f>IF(ISBLANK(PriceData!N7),"",PriceData!N7)</f>
        <v/>
      </c>
      <c r="O9" s="1" t="str">
        <f>IF(ISBLANK(PriceData!O7),"",PriceData!O7)</f>
        <v/>
      </c>
      <c r="P9" s="1" t="str">
        <f>IF(ISBLANK(PriceData!P7),"",PriceData!P7)</f>
        <v/>
      </c>
      <c r="Q9" s="1" t="str">
        <f>IF(ISBLANK(PriceData!Q7),"",PriceData!Q7)</f>
        <v/>
      </c>
      <c r="R9" s="1" t="str">
        <f>IF(ISBLANK(PriceData!R7),"",PriceData!R7)</f>
        <v/>
      </c>
      <c r="S9" s="1" t="str">
        <f>IF(ISBLANK(PriceData!S7),"",PriceData!S7)</f>
        <v/>
      </c>
      <c r="T9" s="1" t="str">
        <f>IF(ISBLANK(PriceData!T7),"",PriceData!T7)</f>
        <v/>
      </c>
      <c r="U9" s="1" t="str">
        <f>IF(ISBLANK(PriceData!U7),"",PriceData!U7)</f>
        <v/>
      </c>
      <c r="V9" s="1" t="str">
        <f>IF(ISBLANK(PriceData!V7),"",PriceData!V7)</f>
        <v/>
      </c>
      <c r="W9" s="1" t="str">
        <f>IF(ISBLANK(PriceData!W7),"",PriceData!W7)</f>
        <v/>
      </c>
      <c r="X9" s="1" t="str">
        <f>IF(ISBLANK(PriceData!X7),"",PriceData!X7)</f>
        <v/>
      </c>
      <c r="Y9" s="1" t="str">
        <f>IF(ISBLANK(PriceData!Y7),"",PriceData!Y7)</f>
        <v/>
      </c>
      <c r="Z9" s="1" t="str">
        <f>IF(ISBLANK(PriceData!Z7),"",PriceData!Z7)</f>
        <v/>
      </c>
      <c r="AA9" s="1" t="str">
        <f>IF(ISBLANK(PriceData!AA7),"",PriceData!AA7)</f>
        <v/>
      </c>
      <c r="AB9" s="1" t="str">
        <f>IF(ISBLANK(PriceData!AB7),"",PriceData!AB7)</f>
        <v/>
      </c>
      <c r="AC9" s="1" t="str">
        <f>IF(ISBLANK(PriceData!AC7),"",PriceData!AC7)</f>
        <v/>
      </c>
      <c r="AD9" s="1" t="str">
        <f>IF(ISBLANK(PriceData!AD7),"",PriceData!AD7)</f>
        <v/>
      </c>
      <c r="AE9" s="1" t="str">
        <f>IF(ISBLANK(PriceData!AE7),"",PriceData!AE7)</f>
        <v/>
      </c>
      <c r="AF9" s="1" t="str">
        <f>IF(ISBLANK(PriceData!AF7),"",PriceData!AF7)</f>
        <v/>
      </c>
      <c r="AG9" s="1" t="str">
        <f>IF(ISBLANK(PriceData!AG7),"",PriceData!AG7)</f>
        <v/>
      </c>
      <c r="AH9" s="1" t="str">
        <f>IF(ISBLANK(PriceData!AH7),"",PriceData!AH7)</f>
        <v/>
      </c>
      <c r="AI9" s="1" t="str">
        <f>IF(ISBLANK(PriceData!AI7),"",PriceData!AI7)</f>
        <v/>
      </c>
      <c r="AJ9" s="1" t="str">
        <f>IF(ISBLANK(PriceData!AJ7),"",PriceData!AJ7)</f>
        <v/>
      </c>
      <c r="AK9" s="1" t="str">
        <f>IF(ISBLANK(PriceData!AK7),"",PriceData!AK7)</f>
        <v/>
      </c>
      <c r="AL9" s="1" t="str">
        <f>IF(ISBLANK(PriceData!AL7),"",PriceData!AL7)</f>
        <v/>
      </c>
      <c r="AM9" s="1" t="str">
        <f>IF(ISBLANK(PriceData!AM7),"",PriceData!AM7)</f>
        <v/>
      </c>
      <c r="AN9" s="1" t="str">
        <f>IF(ISBLANK(PriceData!AN7),"",PriceData!AN7)</f>
        <v/>
      </c>
      <c r="AO9" s="1" t="str">
        <f>IF(ISBLANK(PriceData!AO7),"",PriceData!AO7)</f>
        <v/>
      </c>
      <c r="AP9" s="1" t="str">
        <f>IF(ISBLANK(PriceData!AP7),"",PriceData!AP7)</f>
        <v/>
      </c>
      <c r="AQ9" s="1" t="str">
        <f>IF(ISBLANK(PriceData!AQ7),"",PriceData!AQ7)</f>
        <v/>
      </c>
      <c r="AR9" s="1" t="str">
        <f>IF(ISBLANK(PriceData!AR7),"",PriceData!AR7)</f>
        <v/>
      </c>
      <c r="AS9" s="1" t="str">
        <f>IF(ISBLANK(PriceData!AS7),"",PriceData!AS7)</f>
        <v/>
      </c>
      <c r="AT9" s="1" t="str">
        <f>IF(ISBLANK(PriceData!AT7),"",PriceData!AT7)</f>
        <v/>
      </c>
      <c r="AU9" s="1" t="str">
        <f>IF(ISBLANK(PriceData!AU7),"",PriceData!AU7)</f>
        <v/>
      </c>
      <c r="AV9" s="1" t="str">
        <f>IF(ISBLANK(PriceData!AV7),"",PriceData!AV7)</f>
        <v/>
      </c>
      <c r="AW9" s="1" t="str">
        <f>IF(ISBLANK(PriceData!AW7),"",PriceData!AW7)</f>
        <v/>
      </c>
      <c r="AX9" s="1" t="str">
        <f>IF(ISBLANK(PriceData!AX7),"",PriceData!AX7)</f>
        <v/>
      </c>
      <c r="AY9" s="1" t="str">
        <f>IF(ISBLANK(PriceData!AY7),"",PriceData!AY7)</f>
        <v/>
      </c>
      <c r="AZ9" s="1" t="str">
        <f>IF(ISBLANK(PriceData!AZ7),"",PriceData!AZ7)</f>
        <v/>
      </c>
      <c r="BA9" s="1" t="str">
        <f>IF(ISBLANK(PriceData!BA7),"",PriceData!BA7)</f>
        <v/>
      </c>
      <c r="BB9" s="1" t="str">
        <f>IF(ISBLANK(PriceData!BB7),"",PriceData!BB7)</f>
        <v/>
      </c>
      <c r="BC9" s="1" t="str">
        <f>IF(ISBLANK(PriceData!BC7),"",PriceData!BC7)</f>
        <v/>
      </c>
      <c r="BD9" s="1" t="str">
        <f>IF(ISBLANK(PriceData!BD7),"",PriceData!BD7)</f>
        <v/>
      </c>
      <c r="BE9" s="1" t="str">
        <f>IF(ISBLANK(PriceData!BE7),"",PriceData!BE7)</f>
        <v/>
      </c>
      <c r="BF9" s="1" t="str">
        <f>IF(ISBLANK(PriceData!BF7),"",PriceData!BF7)</f>
        <v/>
      </c>
      <c r="BG9" s="1" t="str">
        <f>IF(ISBLANK(PriceData!BG7),"",PriceData!BG7)</f>
        <v/>
      </c>
      <c r="BH9" s="1" t="str">
        <f>IF(ISBLANK(PriceData!BH7),"",PriceData!BH7)</f>
        <v/>
      </c>
      <c r="BI9" s="1" t="str">
        <f>IF(ISBLANK(PriceData!BI7),"",PriceData!BI7)</f>
        <v/>
      </c>
      <c r="BJ9" s="1" t="str">
        <f>IF(ISBLANK(PriceData!BJ7),"",PriceData!BJ7)</f>
        <v/>
      </c>
      <c r="BK9" s="1" t="str">
        <f>IF(ISBLANK(PriceData!BK7),"",PriceData!BK7)</f>
        <v/>
      </c>
      <c r="BL9" s="1" t="str">
        <f>IF(ISBLANK(PriceData!BL7),"",PriceData!BL7)</f>
        <v/>
      </c>
      <c r="BM9" s="1" t="str">
        <f>IF(ISBLANK(PriceData!BM7),"",PriceData!BM7)</f>
        <v/>
      </c>
      <c r="BN9" s="1" t="str">
        <f>IF(ISBLANK(PriceData!BN7),"",PriceData!BN7)</f>
        <v/>
      </c>
      <c r="BO9" s="1" t="str">
        <f>IF(ISBLANK(PriceData!BO7),"",PriceData!BO7)</f>
        <v/>
      </c>
      <c r="BP9" s="1" t="str">
        <f>IF(ISBLANK(PriceData!BP7),"",PriceData!BP7)</f>
        <v/>
      </c>
      <c r="BQ9" s="1" t="str">
        <f>IF(ISBLANK(PriceData!BQ7),"",PriceData!BQ7)</f>
        <v/>
      </c>
      <c r="BR9" s="1" t="str">
        <f>IF(ISBLANK(PriceData!BR7),"",PriceData!BR7)</f>
        <v/>
      </c>
      <c r="BS9" s="1" t="str">
        <f>IF(ISBLANK(PriceData!BS7),"",PriceData!BS7)</f>
        <v/>
      </c>
      <c r="BT9" s="1" t="str">
        <f>IF(ISBLANK(PriceData!BT7),"",PriceData!BT7)</f>
        <v/>
      </c>
      <c r="BU9" s="1" t="str">
        <f>IF(ISBLANK(PriceData!BU7),"",PriceData!BU7)</f>
        <v/>
      </c>
      <c r="BV9" s="1" t="str">
        <f>IF(ISBLANK(PriceData!BV7),"",PriceData!BV7)</f>
        <v/>
      </c>
      <c r="BW9" s="1" t="str">
        <f>IF(ISBLANK(PriceData!BW7),"",PriceData!BW7)</f>
        <v/>
      </c>
      <c r="BX9" s="1" t="str">
        <f>IF(ISBLANK(PriceData!BX7),"",PriceData!BX7)</f>
        <v/>
      </c>
      <c r="BY9" s="1" t="str">
        <f>IF(ISBLANK(PriceData!BY7),"",PriceData!BY7)</f>
        <v/>
      </c>
      <c r="BZ9" s="1" t="str">
        <f>IF(ISBLANK(PriceData!BZ7),"",PriceData!BZ7)</f>
        <v/>
      </c>
      <c r="CA9" s="1" t="str">
        <f>IF(ISBLANK(PriceData!CA7),"",PriceData!CA7)</f>
        <v/>
      </c>
      <c r="CB9" s="1" t="str">
        <f>IF(ISBLANK(PriceData!CB7),"",PriceData!CB7)</f>
        <v/>
      </c>
      <c r="CC9" s="1" t="str">
        <f>IF(ISBLANK(PriceData!CC7),"",PriceData!CC7)</f>
        <v/>
      </c>
      <c r="CD9" s="1" t="str">
        <f>IF(ISBLANK(PriceData!CD7),"",PriceData!CD7)</f>
        <v/>
      </c>
      <c r="CE9" s="1" t="str">
        <f>IF(ISBLANK(PriceData!CE7),"",PriceData!CE7)</f>
        <v/>
      </c>
      <c r="CF9" s="1" t="str">
        <f>IF(ISBLANK(PriceData!CF7),"",PriceData!CF7)</f>
        <v/>
      </c>
      <c r="CG9" s="1" t="str">
        <f>IF(ISBLANK(PriceData!CG7),"",PriceData!CG7)</f>
        <v/>
      </c>
      <c r="CH9" s="1" t="str">
        <f>IF(ISBLANK(PriceData!CH7),"",PriceData!CH7)</f>
        <v/>
      </c>
      <c r="CI9" s="1" t="str">
        <f>IF(ISBLANK(PriceData!CI7),"",PriceData!CI7)</f>
        <v/>
      </c>
      <c r="CJ9" s="1" t="str">
        <f>IF(ISBLANK(PriceData!CJ7),"",PriceData!CJ7)</f>
        <v/>
      </c>
      <c r="CK9" s="1" t="str">
        <f>IF(ISBLANK(PriceData!CK7),"",PriceData!CK7)</f>
        <v/>
      </c>
      <c r="CL9" s="1" t="str">
        <f>IF(ISBLANK(PriceData!CL7),"",PriceData!CL7)</f>
        <v/>
      </c>
      <c r="CM9" s="1" t="str">
        <f>IF(ISBLANK(PriceData!CM7),"",PriceData!CM7)</f>
        <v/>
      </c>
      <c r="CN9" s="1" t="str">
        <f>IF(ISBLANK(PriceData!CN7),"",PriceData!CN7)</f>
        <v/>
      </c>
    </row>
    <row r="10" spans="1:92" x14ac:dyDescent="0.25">
      <c r="B10" s="1" t="str">
        <f>IF(ISBLANK(PriceData!A8),"",PriceData!A8)</f>
        <v/>
      </c>
      <c r="C10" s="1" t="str">
        <f>IF(ISBLANK(PriceData!C8),"",PriceData!C8)</f>
        <v/>
      </c>
      <c r="D10" s="1" t="str">
        <f>IF(ISBLANK(PriceData!D8),"",PriceData!D8)</f>
        <v/>
      </c>
      <c r="E10" s="1" t="str">
        <f>IF(ISBLANK(PriceData!E8),"",PriceData!E8)</f>
        <v/>
      </c>
      <c r="F10" s="1" t="str">
        <f>IF(ISBLANK(PriceData!F8),"",PriceData!F8)</f>
        <v/>
      </c>
      <c r="G10" s="1" t="str">
        <f>IF(ISBLANK(PriceData!G8),"",PriceData!G8)</f>
        <v/>
      </c>
      <c r="H10" s="1" t="str">
        <f>IF(ISBLANK(PriceData!H8),"",PriceData!H8)</f>
        <v/>
      </c>
      <c r="I10" s="1" t="str">
        <f>IF(ISBLANK(PriceData!I8),"",PriceData!I8)</f>
        <v/>
      </c>
      <c r="J10" s="1" t="str">
        <f>IF(ISBLANK(PriceData!J8),"",PriceData!J8)</f>
        <v/>
      </c>
      <c r="K10" s="1" t="str">
        <f>IF(ISBLANK(PriceData!K8),"",PriceData!K8)</f>
        <v/>
      </c>
      <c r="L10" s="1" t="str">
        <f>IF(ISBLANK(PriceData!L8),"",PriceData!L8)</f>
        <v/>
      </c>
      <c r="M10" s="1" t="str">
        <f>IF(ISBLANK(PriceData!M8),"",PriceData!M8)</f>
        <v/>
      </c>
      <c r="N10" s="1" t="str">
        <f>IF(ISBLANK(PriceData!N8),"",PriceData!N8)</f>
        <v/>
      </c>
      <c r="O10" s="1" t="str">
        <f>IF(ISBLANK(PriceData!O8),"",PriceData!O8)</f>
        <v/>
      </c>
      <c r="P10" s="1" t="str">
        <f>IF(ISBLANK(PriceData!P8),"",PriceData!P8)</f>
        <v/>
      </c>
      <c r="Q10" s="1" t="str">
        <f>IF(ISBLANK(PriceData!Q8),"",PriceData!Q8)</f>
        <v/>
      </c>
      <c r="R10" s="1" t="str">
        <f>IF(ISBLANK(PriceData!R8),"",PriceData!R8)</f>
        <v/>
      </c>
      <c r="S10" s="1" t="str">
        <f>IF(ISBLANK(PriceData!S8),"",PriceData!S8)</f>
        <v/>
      </c>
      <c r="T10" s="1" t="str">
        <f>IF(ISBLANK(PriceData!T8),"",PriceData!T8)</f>
        <v/>
      </c>
      <c r="U10" s="1" t="str">
        <f>IF(ISBLANK(PriceData!U8),"",PriceData!U8)</f>
        <v/>
      </c>
      <c r="V10" s="1" t="str">
        <f>IF(ISBLANK(PriceData!V8),"",PriceData!V8)</f>
        <v/>
      </c>
      <c r="W10" s="1" t="str">
        <f>IF(ISBLANK(PriceData!W8),"",PriceData!W8)</f>
        <v/>
      </c>
      <c r="X10" s="1" t="str">
        <f>IF(ISBLANK(PriceData!X8),"",PriceData!X8)</f>
        <v/>
      </c>
      <c r="Y10" s="1" t="str">
        <f>IF(ISBLANK(PriceData!Y8),"",PriceData!Y8)</f>
        <v/>
      </c>
      <c r="Z10" s="1" t="str">
        <f>IF(ISBLANK(PriceData!Z8),"",PriceData!Z8)</f>
        <v/>
      </c>
      <c r="AA10" s="1" t="str">
        <f>IF(ISBLANK(PriceData!AA8),"",PriceData!AA8)</f>
        <v/>
      </c>
      <c r="AB10" s="1" t="str">
        <f>IF(ISBLANK(PriceData!AB8),"",PriceData!AB8)</f>
        <v/>
      </c>
      <c r="AC10" s="1" t="str">
        <f>IF(ISBLANK(PriceData!AC8),"",PriceData!AC8)</f>
        <v/>
      </c>
      <c r="AD10" s="1" t="str">
        <f>IF(ISBLANK(PriceData!AD8),"",PriceData!AD8)</f>
        <v/>
      </c>
      <c r="AE10" s="1" t="str">
        <f>IF(ISBLANK(PriceData!AE8),"",PriceData!AE8)</f>
        <v/>
      </c>
      <c r="AF10" s="1" t="str">
        <f>IF(ISBLANK(PriceData!AF8),"",PriceData!AF8)</f>
        <v/>
      </c>
      <c r="AG10" s="1" t="str">
        <f>IF(ISBLANK(PriceData!AG8),"",PriceData!AG8)</f>
        <v/>
      </c>
      <c r="AH10" s="1" t="str">
        <f>IF(ISBLANK(PriceData!AH8),"",PriceData!AH8)</f>
        <v/>
      </c>
      <c r="AI10" s="1" t="str">
        <f>IF(ISBLANK(PriceData!AI8),"",PriceData!AI8)</f>
        <v/>
      </c>
      <c r="AJ10" s="1" t="str">
        <f>IF(ISBLANK(PriceData!AJ8),"",PriceData!AJ8)</f>
        <v/>
      </c>
      <c r="AK10" s="1" t="str">
        <f>IF(ISBLANK(PriceData!AK8),"",PriceData!AK8)</f>
        <v/>
      </c>
      <c r="AL10" s="1" t="str">
        <f>IF(ISBLANK(PriceData!AL8),"",PriceData!AL8)</f>
        <v/>
      </c>
      <c r="AM10" s="1" t="str">
        <f>IF(ISBLANK(PriceData!AM8),"",PriceData!AM8)</f>
        <v/>
      </c>
      <c r="AN10" s="1" t="str">
        <f>IF(ISBLANK(PriceData!AN8),"",PriceData!AN8)</f>
        <v/>
      </c>
      <c r="AO10" s="1" t="str">
        <f>IF(ISBLANK(PriceData!AO8),"",PriceData!AO8)</f>
        <v/>
      </c>
      <c r="AP10" s="1" t="str">
        <f>IF(ISBLANK(PriceData!AP8),"",PriceData!AP8)</f>
        <v/>
      </c>
      <c r="AQ10" s="1" t="str">
        <f>IF(ISBLANK(PriceData!AQ8),"",PriceData!AQ8)</f>
        <v/>
      </c>
      <c r="AR10" s="1" t="str">
        <f>IF(ISBLANK(PriceData!AR8),"",PriceData!AR8)</f>
        <v/>
      </c>
      <c r="AS10" s="1" t="str">
        <f>IF(ISBLANK(PriceData!AS8),"",PriceData!AS8)</f>
        <v/>
      </c>
      <c r="AT10" s="1" t="str">
        <f>IF(ISBLANK(PriceData!AT8),"",PriceData!AT8)</f>
        <v/>
      </c>
      <c r="AU10" s="1" t="str">
        <f>IF(ISBLANK(PriceData!AU8),"",PriceData!AU8)</f>
        <v/>
      </c>
      <c r="AV10" s="1" t="str">
        <f>IF(ISBLANK(PriceData!AV8),"",PriceData!AV8)</f>
        <v/>
      </c>
      <c r="AW10" s="1" t="str">
        <f>IF(ISBLANK(PriceData!AW8),"",PriceData!AW8)</f>
        <v/>
      </c>
      <c r="AX10" s="1" t="str">
        <f>IF(ISBLANK(PriceData!AX8),"",PriceData!AX8)</f>
        <v/>
      </c>
      <c r="AY10" s="1" t="str">
        <f>IF(ISBLANK(PriceData!AY8),"",PriceData!AY8)</f>
        <v/>
      </c>
      <c r="AZ10" s="1" t="str">
        <f>IF(ISBLANK(PriceData!AZ8),"",PriceData!AZ8)</f>
        <v/>
      </c>
      <c r="BA10" s="1" t="str">
        <f>IF(ISBLANK(PriceData!BA8),"",PriceData!BA8)</f>
        <v/>
      </c>
      <c r="BB10" s="1" t="str">
        <f>IF(ISBLANK(PriceData!BB8),"",PriceData!BB8)</f>
        <v/>
      </c>
      <c r="BC10" s="1" t="str">
        <f>IF(ISBLANK(PriceData!BC8),"",PriceData!BC8)</f>
        <v/>
      </c>
      <c r="BD10" s="1" t="str">
        <f>IF(ISBLANK(PriceData!BD8),"",PriceData!BD8)</f>
        <v/>
      </c>
      <c r="BE10" s="1" t="str">
        <f>IF(ISBLANK(PriceData!BE8),"",PriceData!BE8)</f>
        <v/>
      </c>
      <c r="BF10" s="1" t="str">
        <f>IF(ISBLANK(PriceData!BF8),"",PriceData!BF8)</f>
        <v/>
      </c>
      <c r="BG10" s="1" t="str">
        <f>IF(ISBLANK(PriceData!BG8),"",PriceData!BG8)</f>
        <v/>
      </c>
      <c r="BH10" s="1" t="str">
        <f>IF(ISBLANK(PriceData!BH8),"",PriceData!BH8)</f>
        <v/>
      </c>
      <c r="BI10" s="1" t="str">
        <f>IF(ISBLANK(PriceData!BI8),"",PriceData!BI8)</f>
        <v/>
      </c>
      <c r="BJ10" s="1" t="str">
        <f>IF(ISBLANK(PriceData!BJ8),"",PriceData!BJ8)</f>
        <v/>
      </c>
      <c r="BK10" s="1" t="str">
        <f>IF(ISBLANK(PriceData!BK8),"",PriceData!BK8)</f>
        <v/>
      </c>
      <c r="BL10" s="1" t="str">
        <f>IF(ISBLANK(PriceData!BL8),"",PriceData!BL8)</f>
        <v/>
      </c>
      <c r="BM10" s="1" t="str">
        <f>IF(ISBLANK(PriceData!BM8),"",PriceData!BM8)</f>
        <v/>
      </c>
      <c r="BN10" s="1" t="str">
        <f>IF(ISBLANK(PriceData!BN8),"",PriceData!BN8)</f>
        <v/>
      </c>
      <c r="BO10" s="1" t="str">
        <f>IF(ISBLANK(PriceData!BO8),"",PriceData!BO8)</f>
        <v/>
      </c>
      <c r="BP10" s="1" t="str">
        <f>IF(ISBLANK(PriceData!BP8),"",PriceData!BP8)</f>
        <v/>
      </c>
      <c r="BQ10" s="1" t="str">
        <f>IF(ISBLANK(PriceData!BQ8),"",PriceData!BQ8)</f>
        <v/>
      </c>
      <c r="BR10" s="1" t="str">
        <f>IF(ISBLANK(PriceData!BR8),"",PriceData!BR8)</f>
        <v/>
      </c>
      <c r="BS10" s="1" t="str">
        <f>IF(ISBLANK(PriceData!BS8),"",PriceData!BS8)</f>
        <v/>
      </c>
      <c r="BT10" s="1" t="str">
        <f>IF(ISBLANK(PriceData!BT8),"",PriceData!BT8)</f>
        <v/>
      </c>
      <c r="BU10" s="1" t="str">
        <f>IF(ISBLANK(PriceData!BU8),"",PriceData!BU8)</f>
        <v/>
      </c>
      <c r="BV10" s="1" t="str">
        <f>IF(ISBLANK(PriceData!BV8),"",PriceData!BV8)</f>
        <v/>
      </c>
      <c r="BW10" s="1" t="str">
        <f>IF(ISBLANK(PriceData!BW8),"",PriceData!BW8)</f>
        <v/>
      </c>
      <c r="BX10" s="1" t="str">
        <f>IF(ISBLANK(PriceData!BX8),"",PriceData!BX8)</f>
        <v/>
      </c>
      <c r="BY10" s="1" t="str">
        <f>IF(ISBLANK(PriceData!BY8),"",PriceData!BY8)</f>
        <v/>
      </c>
      <c r="BZ10" s="1" t="str">
        <f>IF(ISBLANK(PriceData!BZ8),"",PriceData!BZ8)</f>
        <v/>
      </c>
      <c r="CA10" s="1" t="str">
        <f>IF(ISBLANK(PriceData!CA8),"",PriceData!CA8)</f>
        <v/>
      </c>
      <c r="CB10" s="1" t="str">
        <f>IF(ISBLANK(PriceData!CB8),"",PriceData!CB8)</f>
        <v/>
      </c>
      <c r="CC10" s="1" t="str">
        <f>IF(ISBLANK(PriceData!CC8),"",PriceData!CC8)</f>
        <v/>
      </c>
      <c r="CD10" s="1" t="str">
        <f>IF(ISBLANK(PriceData!CD8),"",PriceData!CD8)</f>
        <v/>
      </c>
      <c r="CE10" s="1" t="str">
        <f>IF(ISBLANK(PriceData!CE8),"",PriceData!CE8)</f>
        <v/>
      </c>
      <c r="CF10" s="1" t="str">
        <f>IF(ISBLANK(PriceData!CF8),"",PriceData!CF8)</f>
        <v/>
      </c>
      <c r="CG10" s="1" t="str">
        <f>IF(ISBLANK(PriceData!CG8),"",PriceData!CG8)</f>
        <v/>
      </c>
      <c r="CH10" s="1" t="str">
        <f>IF(ISBLANK(PriceData!CH8),"",PriceData!CH8)</f>
        <v/>
      </c>
      <c r="CI10" s="1" t="str">
        <f>IF(ISBLANK(PriceData!CI8),"",PriceData!CI8)</f>
        <v/>
      </c>
      <c r="CJ10" s="1" t="str">
        <f>IF(ISBLANK(PriceData!CJ8),"",PriceData!CJ8)</f>
        <v/>
      </c>
      <c r="CK10" s="1" t="str">
        <f>IF(ISBLANK(PriceData!CK8),"",PriceData!CK8)</f>
        <v/>
      </c>
      <c r="CL10" s="1" t="str">
        <f>IF(ISBLANK(PriceData!CL8),"",PriceData!CL8)</f>
        <v/>
      </c>
      <c r="CM10" s="1" t="str">
        <f>IF(ISBLANK(PriceData!CM8),"",PriceData!CM8)</f>
        <v/>
      </c>
      <c r="CN10" s="1" t="str">
        <f>IF(ISBLANK(PriceData!CN8),"",PriceData!CN8)</f>
        <v/>
      </c>
    </row>
    <row r="11" spans="1:92" x14ac:dyDescent="0.25">
      <c r="B11" s="1" t="str">
        <f>IF(ISBLANK(PriceData!A9),"",PriceData!A9)</f>
        <v/>
      </c>
      <c r="C11" s="1" t="str">
        <f>IF(ISBLANK(PriceData!C9),"",PriceData!C9)</f>
        <v/>
      </c>
      <c r="D11" s="1" t="str">
        <f>IF(ISBLANK(PriceData!D9),"",PriceData!D9)</f>
        <v/>
      </c>
      <c r="E11" s="1" t="str">
        <f>IF(ISBLANK(PriceData!E9),"",PriceData!E9)</f>
        <v/>
      </c>
      <c r="F11" s="1" t="str">
        <f>IF(ISBLANK(PriceData!F9),"",PriceData!F9)</f>
        <v/>
      </c>
      <c r="G11" s="1" t="str">
        <f>IF(ISBLANK(PriceData!G9),"",PriceData!G9)</f>
        <v/>
      </c>
      <c r="H11" s="1" t="str">
        <f>IF(ISBLANK(PriceData!H9),"",PriceData!H9)</f>
        <v/>
      </c>
      <c r="I11" s="1" t="str">
        <f>IF(ISBLANK(PriceData!I9),"",PriceData!I9)</f>
        <v/>
      </c>
      <c r="J11" s="1" t="str">
        <f>IF(ISBLANK(PriceData!J9),"",PriceData!J9)</f>
        <v/>
      </c>
      <c r="K11" s="1" t="str">
        <f>IF(ISBLANK(PriceData!K9),"",PriceData!K9)</f>
        <v/>
      </c>
      <c r="L11" s="1" t="str">
        <f>IF(ISBLANK(PriceData!L9),"",PriceData!L9)</f>
        <v/>
      </c>
      <c r="M11" s="1" t="str">
        <f>IF(ISBLANK(PriceData!M9),"",PriceData!M9)</f>
        <v/>
      </c>
      <c r="N11" s="1" t="str">
        <f>IF(ISBLANK(PriceData!N9),"",PriceData!N9)</f>
        <v/>
      </c>
      <c r="O11" s="1" t="str">
        <f>IF(ISBLANK(PriceData!O9),"",PriceData!O9)</f>
        <v/>
      </c>
      <c r="P11" s="1" t="str">
        <f>IF(ISBLANK(PriceData!P9),"",PriceData!P9)</f>
        <v/>
      </c>
      <c r="Q11" s="1" t="str">
        <f>IF(ISBLANK(PriceData!Q9),"",PriceData!Q9)</f>
        <v/>
      </c>
      <c r="R11" s="1" t="str">
        <f>IF(ISBLANK(PriceData!R9),"",PriceData!R9)</f>
        <v/>
      </c>
      <c r="S11" s="1" t="str">
        <f>IF(ISBLANK(PriceData!S9),"",PriceData!S9)</f>
        <v/>
      </c>
      <c r="T11" s="1" t="str">
        <f>IF(ISBLANK(PriceData!T9),"",PriceData!T9)</f>
        <v/>
      </c>
      <c r="U11" s="1" t="str">
        <f>IF(ISBLANK(PriceData!U9),"",PriceData!U9)</f>
        <v/>
      </c>
      <c r="V11" s="1" t="str">
        <f>IF(ISBLANK(PriceData!V9),"",PriceData!V9)</f>
        <v/>
      </c>
      <c r="W11" s="1" t="str">
        <f>IF(ISBLANK(PriceData!W9),"",PriceData!W9)</f>
        <v/>
      </c>
      <c r="X11" s="1" t="str">
        <f>IF(ISBLANK(PriceData!X9),"",PriceData!X9)</f>
        <v/>
      </c>
      <c r="Y11" s="1" t="str">
        <f>IF(ISBLANK(PriceData!Y9),"",PriceData!Y9)</f>
        <v/>
      </c>
      <c r="Z11" s="1" t="str">
        <f>IF(ISBLANK(PriceData!Z9),"",PriceData!Z9)</f>
        <v/>
      </c>
      <c r="AA11" s="1" t="str">
        <f>IF(ISBLANK(PriceData!AA9),"",PriceData!AA9)</f>
        <v/>
      </c>
      <c r="AB11" s="1" t="str">
        <f>IF(ISBLANK(PriceData!AB9),"",PriceData!AB9)</f>
        <v/>
      </c>
      <c r="AC11" s="1" t="str">
        <f>IF(ISBLANK(PriceData!AC9),"",PriceData!AC9)</f>
        <v/>
      </c>
      <c r="AD11" s="1" t="str">
        <f>IF(ISBLANK(PriceData!AD9),"",PriceData!AD9)</f>
        <v/>
      </c>
      <c r="AE11" s="1" t="str">
        <f>IF(ISBLANK(PriceData!AE9),"",PriceData!AE9)</f>
        <v/>
      </c>
      <c r="AF11" s="1" t="str">
        <f>IF(ISBLANK(PriceData!AF9),"",PriceData!AF9)</f>
        <v/>
      </c>
      <c r="AG11" s="1" t="str">
        <f>IF(ISBLANK(PriceData!AG9),"",PriceData!AG9)</f>
        <v/>
      </c>
      <c r="AH11" s="1" t="str">
        <f>IF(ISBLANK(PriceData!AH9),"",PriceData!AH9)</f>
        <v/>
      </c>
      <c r="AI11" s="1" t="str">
        <f>IF(ISBLANK(PriceData!AI9),"",PriceData!AI9)</f>
        <v/>
      </c>
      <c r="AJ11" s="1" t="str">
        <f>IF(ISBLANK(PriceData!AJ9),"",PriceData!AJ9)</f>
        <v/>
      </c>
      <c r="AK11" s="1" t="str">
        <f>IF(ISBLANK(PriceData!AK9),"",PriceData!AK9)</f>
        <v/>
      </c>
      <c r="AL11" s="1" t="str">
        <f>IF(ISBLANK(PriceData!AL9),"",PriceData!AL9)</f>
        <v/>
      </c>
      <c r="AM11" s="1" t="str">
        <f>IF(ISBLANK(PriceData!AM9),"",PriceData!AM9)</f>
        <v/>
      </c>
      <c r="AN11" s="1" t="str">
        <f>IF(ISBLANK(PriceData!AN9),"",PriceData!AN9)</f>
        <v/>
      </c>
      <c r="AO11" s="1" t="str">
        <f>IF(ISBLANK(PriceData!AO9),"",PriceData!AO9)</f>
        <v/>
      </c>
      <c r="AP11" s="1" t="str">
        <f>IF(ISBLANK(PriceData!AP9),"",PriceData!AP9)</f>
        <v/>
      </c>
      <c r="AQ11" s="1" t="str">
        <f>IF(ISBLANK(PriceData!AQ9),"",PriceData!AQ9)</f>
        <v/>
      </c>
      <c r="AR11" s="1" t="str">
        <f>IF(ISBLANK(PriceData!AR9),"",PriceData!AR9)</f>
        <v/>
      </c>
      <c r="AS11" s="1" t="str">
        <f>IF(ISBLANK(PriceData!AS9),"",PriceData!AS9)</f>
        <v/>
      </c>
      <c r="AT11" s="1" t="str">
        <f>IF(ISBLANK(PriceData!AT9),"",PriceData!AT9)</f>
        <v/>
      </c>
      <c r="AU11" s="1" t="str">
        <f>IF(ISBLANK(PriceData!AU9),"",PriceData!AU9)</f>
        <v/>
      </c>
      <c r="AV11" s="1" t="str">
        <f>IF(ISBLANK(PriceData!AV9),"",PriceData!AV9)</f>
        <v/>
      </c>
      <c r="AW11" s="1" t="str">
        <f>IF(ISBLANK(PriceData!AW9),"",PriceData!AW9)</f>
        <v/>
      </c>
      <c r="AX11" s="1" t="str">
        <f>IF(ISBLANK(PriceData!AX9),"",PriceData!AX9)</f>
        <v/>
      </c>
      <c r="AY11" s="1" t="str">
        <f>IF(ISBLANK(PriceData!AY9),"",PriceData!AY9)</f>
        <v/>
      </c>
      <c r="AZ11" s="1" t="str">
        <f>IF(ISBLANK(PriceData!AZ9),"",PriceData!AZ9)</f>
        <v/>
      </c>
      <c r="BA11" s="1" t="str">
        <f>IF(ISBLANK(PriceData!BA9),"",PriceData!BA9)</f>
        <v/>
      </c>
      <c r="BB11" s="1" t="str">
        <f>IF(ISBLANK(PriceData!BB9),"",PriceData!BB9)</f>
        <v/>
      </c>
      <c r="BC11" s="1" t="str">
        <f>IF(ISBLANK(PriceData!BC9),"",PriceData!BC9)</f>
        <v/>
      </c>
      <c r="BD11" s="1" t="str">
        <f>IF(ISBLANK(PriceData!BD9),"",PriceData!BD9)</f>
        <v/>
      </c>
      <c r="BE11" s="1" t="str">
        <f>IF(ISBLANK(PriceData!BE9),"",PriceData!BE9)</f>
        <v/>
      </c>
      <c r="BF11" s="1" t="str">
        <f>IF(ISBLANK(PriceData!BF9),"",PriceData!BF9)</f>
        <v/>
      </c>
      <c r="BG11" s="1" t="str">
        <f>IF(ISBLANK(PriceData!BG9),"",PriceData!BG9)</f>
        <v/>
      </c>
      <c r="BH11" s="1" t="str">
        <f>IF(ISBLANK(PriceData!BH9),"",PriceData!BH9)</f>
        <v/>
      </c>
      <c r="BI11" s="1" t="str">
        <f>IF(ISBLANK(PriceData!BI9),"",PriceData!BI9)</f>
        <v/>
      </c>
      <c r="BJ11" s="1" t="str">
        <f>IF(ISBLANK(PriceData!BJ9),"",PriceData!BJ9)</f>
        <v/>
      </c>
      <c r="BK11" s="1" t="str">
        <f>IF(ISBLANK(PriceData!BK9),"",PriceData!BK9)</f>
        <v/>
      </c>
      <c r="BL11" s="1" t="str">
        <f>IF(ISBLANK(PriceData!BL9),"",PriceData!BL9)</f>
        <v/>
      </c>
      <c r="BM11" s="1" t="str">
        <f>IF(ISBLANK(PriceData!BM9),"",PriceData!BM9)</f>
        <v/>
      </c>
      <c r="BN11" s="1" t="str">
        <f>IF(ISBLANK(PriceData!BN9),"",PriceData!BN9)</f>
        <v/>
      </c>
      <c r="BO11" s="1" t="str">
        <f>IF(ISBLANK(PriceData!BO9),"",PriceData!BO9)</f>
        <v/>
      </c>
      <c r="BP11" s="1" t="str">
        <f>IF(ISBLANK(PriceData!BP9),"",PriceData!BP9)</f>
        <v/>
      </c>
      <c r="BQ11" s="1" t="str">
        <f>IF(ISBLANK(PriceData!BQ9),"",PriceData!BQ9)</f>
        <v/>
      </c>
      <c r="BR11" s="1" t="str">
        <f>IF(ISBLANK(PriceData!BR9),"",PriceData!BR9)</f>
        <v/>
      </c>
      <c r="BS11" s="1" t="str">
        <f>IF(ISBLANK(PriceData!BS9),"",PriceData!BS9)</f>
        <v/>
      </c>
      <c r="BT11" s="1" t="str">
        <f>IF(ISBLANK(PriceData!BT9),"",PriceData!BT9)</f>
        <v/>
      </c>
      <c r="BU11" s="1" t="str">
        <f>IF(ISBLANK(PriceData!BU9),"",PriceData!BU9)</f>
        <v/>
      </c>
      <c r="BV11" s="1" t="str">
        <f>IF(ISBLANK(PriceData!BV9),"",PriceData!BV9)</f>
        <v/>
      </c>
      <c r="BW11" s="1" t="str">
        <f>IF(ISBLANK(PriceData!BW9),"",PriceData!BW9)</f>
        <v/>
      </c>
      <c r="BX11" s="1" t="str">
        <f>IF(ISBLANK(PriceData!BX9),"",PriceData!BX9)</f>
        <v/>
      </c>
      <c r="BY11" s="1" t="str">
        <f>IF(ISBLANK(PriceData!BY9),"",PriceData!BY9)</f>
        <v/>
      </c>
      <c r="BZ11" s="1" t="str">
        <f>IF(ISBLANK(PriceData!BZ9),"",PriceData!BZ9)</f>
        <v/>
      </c>
      <c r="CA11" s="1" t="str">
        <f>IF(ISBLANK(PriceData!CA9),"",PriceData!CA9)</f>
        <v/>
      </c>
      <c r="CB11" s="1" t="str">
        <f>IF(ISBLANK(PriceData!CB9),"",PriceData!CB9)</f>
        <v/>
      </c>
      <c r="CC11" s="1" t="str">
        <f>IF(ISBLANK(PriceData!CC9),"",PriceData!CC9)</f>
        <v/>
      </c>
      <c r="CD11" s="1" t="str">
        <f>IF(ISBLANK(PriceData!CD9),"",PriceData!CD9)</f>
        <v/>
      </c>
      <c r="CE11" s="1" t="str">
        <f>IF(ISBLANK(PriceData!CE9),"",PriceData!CE9)</f>
        <v/>
      </c>
      <c r="CF11" s="1" t="str">
        <f>IF(ISBLANK(PriceData!CF9),"",PriceData!CF9)</f>
        <v/>
      </c>
      <c r="CG11" s="1" t="str">
        <f>IF(ISBLANK(PriceData!CG9),"",PriceData!CG9)</f>
        <v/>
      </c>
      <c r="CH11" s="1" t="str">
        <f>IF(ISBLANK(PriceData!CH9),"",PriceData!CH9)</f>
        <v/>
      </c>
      <c r="CI11" s="1" t="str">
        <f>IF(ISBLANK(PriceData!CI9),"",PriceData!CI9)</f>
        <v/>
      </c>
      <c r="CJ11" s="1" t="str">
        <f>IF(ISBLANK(PriceData!CJ9),"",PriceData!CJ9)</f>
        <v/>
      </c>
      <c r="CK11" s="1" t="str">
        <f>IF(ISBLANK(PriceData!CK9),"",PriceData!CK9)</f>
        <v/>
      </c>
      <c r="CL11" s="1" t="str">
        <f>IF(ISBLANK(PriceData!CL9),"",PriceData!CL9)</f>
        <v/>
      </c>
      <c r="CM11" s="1" t="str">
        <f>IF(ISBLANK(PriceData!CM9),"",PriceData!CM9)</f>
        <v/>
      </c>
      <c r="CN11" s="1" t="str">
        <f>IF(ISBLANK(PriceData!CN9),"",PriceData!CN9)</f>
        <v/>
      </c>
    </row>
    <row r="12" spans="1:92" x14ac:dyDescent="0.25">
      <c r="B12" s="1" t="str">
        <f>IF(ISBLANK(PriceData!A10),"",PriceData!A10)</f>
        <v/>
      </c>
      <c r="C12" s="1" t="str">
        <f>IF(ISBLANK(PriceData!C10),"",PriceData!C10)</f>
        <v/>
      </c>
      <c r="D12" s="1" t="str">
        <f>IF(ISBLANK(PriceData!D10),"",PriceData!D10)</f>
        <v/>
      </c>
      <c r="E12" s="1" t="str">
        <f>IF(ISBLANK(PriceData!E10),"",PriceData!E10)</f>
        <v/>
      </c>
      <c r="F12" s="1" t="str">
        <f>IF(ISBLANK(PriceData!F10),"",PriceData!F10)</f>
        <v/>
      </c>
      <c r="G12" s="1" t="str">
        <f>IF(ISBLANK(PriceData!G10),"",PriceData!G10)</f>
        <v/>
      </c>
      <c r="H12" s="1" t="str">
        <f>IF(ISBLANK(PriceData!H10),"",PriceData!H10)</f>
        <v/>
      </c>
      <c r="I12" s="1" t="str">
        <f>IF(ISBLANK(PriceData!I10),"",PriceData!I10)</f>
        <v/>
      </c>
      <c r="J12" s="1" t="str">
        <f>IF(ISBLANK(PriceData!J10),"",PriceData!J10)</f>
        <v/>
      </c>
      <c r="K12" s="1" t="str">
        <f>IF(ISBLANK(PriceData!K10),"",PriceData!K10)</f>
        <v/>
      </c>
      <c r="L12" s="1" t="str">
        <f>IF(ISBLANK(PriceData!L10),"",PriceData!L10)</f>
        <v/>
      </c>
      <c r="M12" s="1" t="str">
        <f>IF(ISBLANK(PriceData!M10),"",PriceData!M10)</f>
        <v/>
      </c>
      <c r="N12" s="1" t="str">
        <f>IF(ISBLANK(PriceData!N10),"",PriceData!N10)</f>
        <v/>
      </c>
      <c r="O12" s="1" t="str">
        <f>IF(ISBLANK(PriceData!O10),"",PriceData!O10)</f>
        <v/>
      </c>
      <c r="P12" s="1" t="str">
        <f>IF(ISBLANK(PriceData!P10),"",PriceData!P10)</f>
        <v/>
      </c>
      <c r="Q12" s="1" t="str">
        <f>IF(ISBLANK(PriceData!Q10),"",PriceData!Q10)</f>
        <v/>
      </c>
      <c r="R12" s="1" t="str">
        <f>IF(ISBLANK(PriceData!R10),"",PriceData!R10)</f>
        <v/>
      </c>
      <c r="S12" s="1" t="str">
        <f>IF(ISBLANK(PriceData!S10),"",PriceData!S10)</f>
        <v/>
      </c>
      <c r="T12" s="1" t="str">
        <f>IF(ISBLANK(PriceData!T10),"",PriceData!T10)</f>
        <v/>
      </c>
      <c r="U12" s="1" t="str">
        <f>IF(ISBLANK(PriceData!U10),"",PriceData!U10)</f>
        <v/>
      </c>
      <c r="V12" s="1" t="str">
        <f>IF(ISBLANK(PriceData!V10),"",PriceData!V10)</f>
        <v/>
      </c>
      <c r="W12" s="1" t="str">
        <f>IF(ISBLANK(PriceData!W10),"",PriceData!W10)</f>
        <v/>
      </c>
      <c r="X12" s="1" t="str">
        <f>IF(ISBLANK(PriceData!X10),"",PriceData!X10)</f>
        <v/>
      </c>
      <c r="Y12" s="1" t="str">
        <f>IF(ISBLANK(PriceData!Y10),"",PriceData!Y10)</f>
        <v/>
      </c>
      <c r="Z12" s="1" t="str">
        <f>IF(ISBLANK(PriceData!Z10),"",PriceData!Z10)</f>
        <v/>
      </c>
      <c r="AA12" s="1" t="str">
        <f>IF(ISBLANK(PriceData!AA10),"",PriceData!AA10)</f>
        <v/>
      </c>
      <c r="AB12" s="1" t="str">
        <f>IF(ISBLANK(PriceData!AB10),"",PriceData!AB10)</f>
        <v/>
      </c>
      <c r="AC12" s="1" t="str">
        <f>IF(ISBLANK(PriceData!AC10),"",PriceData!AC10)</f>
        <v/>
      </c>
      <c r="AD12" s="1" t="str">
        <f>IF(ISBLANK(PriceData!AD10),"",PriceData!AD10)</f>
        <v/>
      </c>
      <c r="AE12" s="1" t="str">
        <f>IF(ISBLANK(PriceData!AE10),"",PriceData!AE10)</f>
        <v/>
      </c>
      <c r="AF12" s="1" t="str">
        <f>IF(ISBLANK(PriceData!AF10),"",PriceData!AF10)</f>
        <v/>
      </c>
      <c r="AG12" s="1" t="str">
        <f>IF(ISBLANK(PriceData!AG10),"",PriceData!AG10)</f>
        <v/>
      </c>
      <c r="AH12" s="1" t="str">
        <f>IF(ISBLANK(PriceData!AH10),"",PriceData!AH10)</f>
        <v/>
      </c>
      <c r="AI12" s="1" t="str">
        <f>IF(ISBLANK(PriceData!AI10),"",PriceData!AI10)</f>
        <v/>
      </c>
      <c r="AJ12" s="1" t="str">
        <f>IF(ISBLANK(PriceData!AJ10),"",PriceData!AJ10)</f>
        <v/>
      </c>
      <c r="AK12" s="1" t="str">
        <f>IF(ISBLANK(PriceData!AK10),"",PriceData!AK10)</f>
        <v/>
      </c>
      <c r="AL12" s="1" t="str">
        <f>IF(ISBLANK(PriceData!AL10),"",PriceData!AL10)</f>
        <v/>
      </c>
      <c r="AM12" s="1" t="str">
        <f>IF(ISBLANK(PriceData!AM10),"",PriceData!AM10)</f>
        <v/>
      </c>
      <c r="AN12" s="1" t="str">
        <f>IF(ISBLANK(PriceData!AN10),"",PriceData!AN10)</f>
        <v/>
      </c>
      <c r="AO12" s="1" t="str">
        <f>IF(ISBLANK(PriceData!AO10),"",PriceData!AO10)</f>
        <v/>
      </c>
      <c r="AP12" s="1" t="str">
        <f>IF(ISBLANK(PriceData!AP10),"",PriceData!AP10)</f>
        <v/>
      </c>
      <c r="AQ12" s="1" t="str">
        <f>IF(ISBLANK(PriceData!AQ10),"",PriceData!AQ10)</f>
        <v/>
      </c>
      <c r="AR12" s="1" t="str">
        <f>IF(ISBLANK(PriceData!AR10),"",PriceData!AR10)</f>
        <v/>
      </c>
      <c r="AS12" s="1" t="str">
        <f>IF(ISBLANK(PriceData!AS10),"",PriceData!AS10)</f>
        <v/>
      </c>
      <c r="AT12" s="1" t="str">
        <f>IF(ISBLANK(PriceData!AT10),"",PriceData!AT10)</f>
        <v/>
      </c>
      <c r="AU12" s="1" t="str">
        <f>IF(ISBLANK(PriceData!AU10),"",PriceData!AU10)</f>
        <v/>
      </c>
      <c r="AV12" s="1" t="str">
        <f>IF(ISBLANK(PriceData!AV10),"",PriceData!AV10)</f>
        <v/>
      </c>
      <c r="AW12" s="1" t="str">
        <f>IF(ISBLANK(PriceData!AW10),"",PriceData!AW10)</f>
        <v/>
      </c>
      <c r="AX12" s="1" t="str">
        <f>IF(ISBLANK(PriceData!AX10),"",PriceData!AX10)</f>
        <v/>
      </c>
      <c r="AY12" s="1" t="str">
        <f>IF(ISBLANK(PriceData!AY10),"",PriceData!AY10)</f>
        <v/>
      </c>
      <c r="AZ12" s="1" t="str">
        <f>IF(ISBLANK(PriceData!AZ10),"",PriceData!AZ10)</f>
        <v/>
      </c>
      <c r="BA12" s="1" t="str">
        <f>IF(ISBLANK(PriceData!BA10),"",PriceData!BA10)</f>
        <v/>
      </c>
      <c r="BB12" s="1" t="str">
        <f>IF(ISBLANK(PriceData!BB10),"",PriceData!BB10)</f>
        <v/>
      </c>
      <c r="BC12" s="1" t="str">
        <f>IF(ISBLANK(PriceData!BC10),"",PriceData!BC10)</f>
        <v/>
      </c>
      <c r="BD12" s="1" t="str">
        <f>IF(ISBLANK(PriceData!BD10),"",PriceData!BD10)</f>
        <v/>
      </c>
      <c r="BE12" s="1" t="str">
        <f>IF(ISBLANK(PriceData!BE10),"",PriceData!BE10)</f>
        <v/>
      </c>
      <c r="BF12" s="1" t="str">
        <f>IF(ISBLANK(PriceData!BF10),"",PriceData!BF10)</f>
        <v/>
      </c>
      <c r="BG12" s="1" t="str">
        <f>IF(ISBLANK(PriceData!BG10),"",PriceData!BG10)</f>
        <v/>
      </c>
      <c r="BH12" s="1" t="str">
        <f>IF(ISBLANK(PriceData!BH10),"",PriceData!BH10)</f>
        <v/>
      </c>
      <c r="BI12" s="1" t="str">
        <f>IF(ISBLANK(PriceData!BI10),"",PriceData!BI10)</f>
        <v/>
      </c>
      <c r="BJ12" s="1" t="str">
        <f>IF(ISBLANK(PriceData!BJ10),"",PriceData!BJ10)</f>
        <v/>
      </c>
      <c r="BK12" s="1" t="str">
        <f>IF(ISBLANK(PriceData!BK10),"",PriceData!BK10)</f>
        <v/>
      </c>
      <c r="BL12" s="1" t="str">
        <f>IF(ISBLANK(PriceData!BL10),"",PriceData!BL10)</f>
        <v/>
      </c>
      <c r="BM12" s="1" t="str">
        <f>IF(ISBLANK(PriceData!BM10),"",PriceData!BM10)</f>
        <v/>
      </c>
      <c r="BN12" s="1" t="str">
        <f>IF(ISBLANK(PriceData!BN10),"",PriceData!BN10)</f>
        <v/>
      </c>
      <c r="BO12" s="1" t="str">
        <f>IF(ISBLANK(PriceData!BO10),"",PriceData!BO10)</f>
        <v/>
      </c>
      <c r="BP12" s="1" t="str">
        <f>IF(ISBLANK(PriceData!BP10),"",PriceData!BP10)</f>
        <v/>
      </c>
      <c r="BQ12" s="1" t="str">
        <f>IF(ISBLANK(PriceData!BQ10),"",PriceData!BQ10)</f>
        <v/>
      </c>
      <c r="BR12" s="1" t="str">
        <f>IF(ISBLANK(PriceData!BR10),"",PriceData!BR10)</f>
        <v/>
      </c>
      <c r="BS12" s="1" t="str">
        <f>IF(ISBLANK(PriceData!BS10),"",PriceData!BS10)</f>
        <v/>
      </c>
      <c r="BT12" s="1" t="str">
        <f>IF(ISBLANK(PriceData!BT10),"",PriceData!BT10)</f>
        <v/>
      </c>
      <c r="BU12" s="1" t="str">
        <f>IF(ISBLANK(PriceData!BU10),"",PriceData!BU10)</f>
        <v/>
      </c>
      <c r="BV12" s="1" t="str">
        <f>IF(ISBLANK(PriceData!BV10),"",PriceData!BV10)</f>
        <v/>
      </c>
      <c r="BW12" s="1" t="str">
        <f>IF(ISBLANK(PriceData!BW10),"",PriceData!BW10)</f>
        <v/>
      </c>
      <c r="BX12" s="1" t="str">
        <f>IF(ISBLANK(PriceData!BX10),"",PriceData!BX10)</f>
        <v/>
      </c>
      <c r="BY12" s="1" t="str">
        <f>IF(ISBLANK(PriceData!BY10),"",PriceData!BY10)</f>
        <v/>
      </c>
      <c r="BZ12" s="1" t="str">
        <f>IF(ISBLANK(PriceData!BZ10),"",PriceData!BZ10)</f>
        <v/>
      </c>
      <c r="CA12" s="1" t="str">
        <f>IF(ISBLANK(PriceData!CA10),"",PriceData!CA10)</f>
        <v/>
      </c>
      <c r="CB12" s="1" t="str">
        <f>IF(ISBLANK(PriceData!CB10),"",PriceData!CB10)</f>
        <v/>
      </c>
      <c r="CC12" s="1" t="str">
        <f>IF(ISBLANK(PriceData!CC10),"",PriceData!CC10)</f>
        <v/>
      </c>
      <c r="CD12" s="1" t="str">
        <f>IF(ISBLANK(PriceData!CD10),"",PriceData!CD10)</f>
        <v/>
      </c>
      <c r="CE12" s="1" t="str">
        <f>IF(ISBLANK(PriceData!CE10),"",PriceData!CE10)</f>
        <v/>
      </c>
      <c r="CF12" s="1" t="str">
        <f>IF(ISBLANK(PriceData!CF10),"",PriceData!CF10)</f>
        <v/>
      </c>
      <c r="CG12" s="1" t="str">
        <f>IF(ISBLANK(PriceData!CG10),"",PriceData!CG10)</f>
        <v/>
      </c>
      <c r="CH12" s="1" t="str">
        <f>IF(ISBLANK(PriceData!CH10),"",PriceData!CH10)</f>
        <v/>
      </c>
      <c r="CI12" s="1" t="str">
        <f>IF(ISBLANK(PriceData!CI10),"",PriceData!CI10)</f>
        <v/>
      </c>
      <c r="CJ12" s="1" t="str">
        <f>IF(ISBLANK(PriceData!CJ10),"",PriceData!CJ10)</f>
        <v/>
      </c>
      <c r="CK12" s="1" t="str">
        <f>IF(ISBLANK(PriceData!CK10),"",PriceData!CK10)</f>
        <v/>
      </c>
      <c r="CL12" s="1" t="str">
        <f>IF(ISBLANK(PriceData!CL10),"",PriceData!CL10)</f>
        <v/>
      </c>
      <c r="CM12" s="1" t="str">
        <f>IF(ISBLANK(PriceData!CM10),"",PriceData!CM10)</f>
        <v/>
      </c>
      <c r="CN12" s="1" t="str">
        <f>IF(ISBLANK(PriceData!CN10),"",PriceData!CN10)</f>
        <v/>
      </c>
    </row>
    <row r="13" spans="1:92" x14ac:dyDescent="0.25">
      <c r="B13" s="1" t="str">
        <f>IF(ISBLANK(PriceData!A11),"",PriceData!A11)</f>
        <v/>
      </c>
      <c r="C13" s="1" t="str">
        <f>IF(ISBLANK(PriceData!C11),"",PriceData!C11)</f>
        <v/>
      </c>
      <c r="D13" s="1" t="str">
        <f>IF(ISBLANK(PriceData!D11),"",PriceData!D11)</f>
        <v/>
      </c>
      <c r="E13" s="1" t="str">
        <f>IF(ISBLANK(PriceData!E11),"",PriceData!E11)</f>
        <v/>
      </c>
      <c r="F13" s="1" t="str">
        <f>IF(ISBLANK(PriceData!F11),"",PriceData!F11)</f>
        <v/>
      </c>
      <c r="G13" s="1" t="str">
        <f>IF(ISBLANK(PriceData!G11),"",PriceData!G11)</f>
        <v/>
      </c>
      <c r="H13" s="1" t="str">
        <f>IF(ISBLANK(PriceData!H11),"",PriceData!H11)</f>
        <v/>
      </c>
      <c r="I13" s="1" t="str">
        <f>IF(ISBLANK(PriceData!I11),"",PriceData!I11)</f>
        <v/>
      </c>
      <c r="J13" s="1" t="str">
        <f>IF(ISBLANK(PriceData!J11),"",PriceData!J11)</f>
        <v/>
      </c>
      <c r="K13" s="1" t="str">
        <f>IF(ISBLANK(PriceData!K11),"",PriceData!K11)</f>
        <v/>
      </c>
      <c r="L13" s="1" t="str">
        <f>IF(ISBLANK(PriceData!L11),"",PriceData!L11)</f>
        <v/>
      </c>
      <c r="M13" s="1" t="str">
        <f>IF(ISBLANK(PriceData!M11),"",PriceData!M11)</f>
        <v/>
      </c>
      <c r="N13" s="1" t="str">
        <f>IF(ISBLANK(PriceData!N11),"",PriceData!N11)</f>
        <v/>
      </c>
      <c r="O13" s="1" t="str">
        <f>IF(ISBLANK(PriceData!O11),"",PriceData!O11)</f>
        <v/>
      </c>
      <c r="P13" s="1" t="str">
        <f>IF(ISBLANK(PriceData!P11),"",PriceData!P11)</f>
        <v/>
      </c>
      <c r="Q13" s="1" t="str">
        <f>IF(ISBLANK(PriceData!Q11),"",PriceData!Q11)</f>
        <v/>
      </c>
      <c r="R13" s="1" t="str">
        <f>IF(ISBLANK(PriceData!R11),"",PriceData!R11)</f>
        <v/>
      </c>
      <c r="S13" s="1" t="str">
        <f>IF(ISBLANK(PriceData!S11),"",PriceData!S11)</f>
        <v/>
      </c>
      <c r="T13" s="1" t="str">
        <f>IF(ISBLANK(PriceData!T11),"",PriceData!T11)</f>
        <v/>
      </c>
      <c r="U13" s="1" t="str">
        <f>IF(ISBLANK(PriceData!U11),"",PriceData!U11)</f>
        <v/>
      </c>
      <c r="V13" s="1" t="str">
        <f>IF(ISBLANK(PriceData!V11),"",PriceData!V11)</f>
        <v/>
      </c>
      <c r="W13" s="1" t="str">
        <f>IF(ISBLANK(PriceData!W11),"",PriceData!W11)</f>
        <v/>
      </c>
      <c r="X13" s="1" t="str">
        <f>IF(ISBLANK(PriceData!X11),"",PriceData!X11)</f>
        <v/>
      </c>
      <c r="Y13" s="1" t="str">
        <f>IF(ISBLANK(PriceData!Y11),"",PriceData!Y11)</f>
        <v/>
      </c>
      <c r="Z13" s="1" t="str">
        <f>IF(ISBLANK(PriceData!Z11),"",PriceData!Z11)</f>
        <v/>
      </c>
      <c r="AA13" s="1" t="str">
        <f>IF(ISBLANK(PriceData!AA11),"",PriceData!AA11)</f>
        <v/>
      </c>
      <c r="AB13" s="1" t="str">
        <f>IF(ISBLANK(PriceData!AB11),"",PriceData!AB11)</f>
        <v/>
      </c>
      <c r="AC13" s="1" t="str">
        <f>IF(ISBLANK(PriceData!AC11),"",PriceData!AC11)</f>
        <v/>
      </c>
      <c r="AD13" s="1" t="str">
        <f>IF(ISBLANK(PriceData!AD11),"",PriceData!AD11)</f>
        <v/>
      </c>
      <c r="AE13" s="1" t="str">
        <f>IF(ISBLANK(PriceData!AE11),"",PriceData!AE11)</f>
        <v/>
      </c>
      <c r="AF13" s="1" t="str">
        <f>IF(ISBLANK(PriceData!AF11),"",PriceData!AF11)</f>
        <v/>
      </c>
      <c r="AG13" s="1" t="str">
        <f>IF(ISBLANK(PriceData!AG11),"",PriceData!AG11)</f>
        <v/>
      </c>
      <c r="AH13" s="1" t="str">
        <f>IF(ISBLANK(PriceData!AH11),"",PriceData!AH11)</f>
        <v/>
      </c>
      <c r="AI13" s="1" t="str">
        <f>IF(ISBLANK(PriceData!AI11),"",PriceData!AI11)</f>
        <v/>
      </c>
      <c r="AJ13" s="1" t="str">
        <f>IF(ISBLANK(PriceData!AJ11),"",PriceData!AJ11)</f>
        <v/>
      </c>
      <c r="AK13" s="1" t="str">
        <f>IF(ISBLANK(PriceData!AK11),"",PriceData!AK11)</f>
        <v/>
      </c>
      <c r="AL13" s="1" t="str">
        <f>IF(ISBLANK(PriceData!AL11),"",PriceData!AL11)</f>
        <v/>
      </c>
      <c r="AM13" s="1" t="str">
        <f>IF(ISBLANK(PriceData!AM11),"",PriceData!AM11)</f>
        <v/>
      </c>
      <c r="AN13" s="1" t="str">
        <f>IF(ISBLANK(PriceData!AN11),"",PriceData!AN11)</f>
        <v/>
      </c>
      <c r="AO13" s="1" t="str">
        <f>IF(ISBLANK(PriceData!AO11),"",PriceData!AO11)</f>
        <v/>
      </c>
      <c r="AP13" s="1" t="str">
        <f>IF(ISBLANK(PriceData!AP11),"",PriceData!AP11)</f>
        <v/>
      </c>
      <c r="AQ13" s="1" t="str">
        <f>IF(ISBLANK(PriceData!AQ11),"",PriceData!AQ11)</f>
        <v/>
      </c>
      <c r="AR13" s="1" t="str">
        <f>IF(ISBLANK(PriceData!AR11),"",PriceData!AR11)</f>
        <v/>
      </c>
      <c r="AS13" s="1" t="str">
        <f>IF(ISBLANK(PriceData!AS11),"",PriceData!AS11)</f>
        <v/>
      </c>
      <c r="AT13" s="1" t="str">
        <f>IF(ISBLANK(PriceData!AT11),"",PriceData!AT11)</f>
        <v/>
      </c>
      <c r="AU13" s="1" t="str">
        <f>IF(ISBLANK(PriceData!AU11),"",PriceData!AU11)</f>
        <v/>
      </c>
      <c r="AV13" s="1" t="str">
        <f>IF(ISBLANK(PriceData!AV11),"",PriceData!AV11)</f>
        <v/>
      </c>
      <c r="AW13" s="1" t="str">
        <f>IF(ISBLANK(PriceData!AW11),"",PriceData!AW11)</f>
        <v/>
      </c>
      <c r="AX13" s="1" t="str">
        <f>IF(ISBLANK(PriceData!AX11),"",PriceData!AX11)</f>
        <v/>
      </c>
      <c r="AY13" s="1" t="str">
        <f>IF(ISBLANK(PriceData!AY11),"",PriceData!AY11)</f>
        <v/>
      </c>
      <c r="AZ13" s="1" t="str">
        <f>IF(ISBLANK(PriceData!AZ11),"",PriceData!AZ11)</f>
        <v/>
      </c>
      <c r="BA13" s="1" t="str">
        <f>IF(ISBLANK(PriceData!BA11),"",PriceData!BA11)</f>
        <v/>
      </c>
      <c r="BB13" s="1" t="str">
        <f>IF(ISBLANK(PriceData!BB11),"",PriceData!BB11)</f>
        <v/>
      </c>
      <c r="BC13" s="1" t="str">
        <f>IF(ISBLANK(PriceData!BC11),"",PriceData!BC11)</f>
        <v/>
      </c>
      <c r="BD13" s="1" t="str">
        <f>IF(ISBLANK(PriceData!BD11),"",PriceData!BD11)</f>
        <v/>
      </c>
      <c r="BE13" s="1" t="str">
        <f>IF(ISBLANK(PriceData!BE11),"",PriceData!BE11)</f>
        <v/>
      </c>
      <c r="BF13" s="1" t="str">
        <f>IF(ISBLANK(PriceData!BF11),"",PriceData!BF11)</f>
        <v/>
      </c>
      <c r="BG13" s="1" t="str">
        <f>IF(ISBLANK(PriceData!BG11),"",PriceData!BG11)</f>
        <v/>
      </c>
      <c r="BH13" s="1" t="str">
        <f>IF(ISBLANK(PriceData!BH11),"",PriceData!BH11)</f>
        <v/>
      </c>
      <c r="BI13" s="1" t="str">
        <f>IF(ISBLANK(PriceData!BI11),"",PriceData!BI11)</f>
        <v/>
      </c>
      <c r="BJ13" s="1" t="str">
        <f>IF(ISBLANK(PriceData!BJ11),"",PriceData!BJ11)</f>
        <v/>
      </c>
      <c r="BK13" s="1" t="str">
        <f>IF(ISBLANK(PriceData!BK11),"",PriceData!BK11)</f>
        <v/>
      </c>
      <c r="BL13" s="1" t="str">
        <f>IF(ISBLANK(PriceData!BL11),"",PriceData!BL11)</f>
        <v/>
      </c>
      <c r="BM13" s="1" t="str">
        <f>IF(ISBLANK(PriceData!BM11),"",PriceData!BM11)</f>
        <v/>
      </c>
      <c r="BN13" s="1" t="str">
        <f>IF(ISBLANK(PriceData!BN11),"",PriceData!BN11)</f>
        <v/>
      </c>
      <c r="BO13" s="1" t="str">
        <f>IF(ISBLANK(PriceData!BO11),"",PriceData!BO11)</f>
        <v/>
      </c>
      <c r="BP13" s="1" t="str">
        <f>IF(ISBLANK(PriceData!BP11),"",PriceData!BP11)</f>
        <v/>
      </c>
      <c r="BQ13" s="1" t="str">
        <f>IF(ISBLANK(PriceData!BQ11),"",PriceData!BQ11)</f>
        <v/>
      </c>
      <c r="BR13" s="1" t="str">
        <f>IF(ISBLANK(PriceData!BR11),"",PriceData!BR11)</f>
        <v/>
      </c>
      <c r="BS13" s="1" t="str">
        <f>IF(ISBLANK(PriceData!BS11),"",PriceData!BS11)</f>
        <v/>
      </c>
      <c r="BT13" s="1" t="str">
        <f>IF(ISBLANK(PriceData!BT11),"",PriceData!BT11)</f>
        <v/>
      </c>
      <c r="BU13" s="1" t="str">
        <f>IF(ISBLANK(PriceData!BU11),"",PriceData!BU11)</f>
        <v/>
      </c>
      <c r="BV13" s="1" t="str">
        <f>IF(ISBLANK(PriceData!BV11),"",PriceData!BV11)</f>
        <v/>
      </c>
      <c r="BW13" s="1" t="str">
        <f>IF(ISBLANK(PriceData!BW11),"",PriceData!BW11)</f>
        <v/>
      </c>
      <c r="BX13" s="1" t="str">
        <f>IF(ISBLANK(PriceData!BX11),"",PriceData!BX11)</f>
        <v/>
      </c>
      <c r="BY13" s="1" t="str">
        <f>IF(ISBLANK(PriceData!BY11),"",PriceData!BY11)</f>
        <v/>
      </c>
      <c r="BZ13" s="1" t="str">
        <f>IF(ISBLANK(PriceData!BZ11),"",PriceData!BZ11)</f>
        <v/>
      </c>
      <c r="CA13" s="1" t="str">
        <f>IF(ISBLANK(PriceData!CA11),"",PriceData!CA11)</f>
        <v/>
      </c>
      <c r="CB13" s="1" t="str">
        <f>IF(ISBLANK(PriceData!CB11),"",PriceData!CB11)</f>
        <v/>
      </c>
      <c r="CC13" s="1" t="str">
        <f>IF(ISBLANK(PriceData!CC11),"",PriceData!CC11)</f>
        <v/>
      </c>
      <c r="CD13" s="1" t="str">
        <f>IF(ISBLANK(PriceData!CD11),"",PriceData!CD11)</f>
        <v/>
      </c>
      <c r="CE13" s="1" t="str">
        <f>IF(ISBLANK(PriceData!CE11),"",PriceData!CE11)</f>
        <v/>
      </c>
      <c r="CF13" s="1" t="str">
        <f>IF(ISBLANK(PriceData!CF11),"",PriceData!CF11)</f>
        <v/>
      </c>
      <c r="CG13" s="1" t="str">
        <f>IF(ISBLANK(PriceData!CG11),"",PriceData!CG11)</f>
        <v/>
      </c>
      <c r="CH13" s="1" t="str">
        <f>IF(ISBLANK(PriceData!CH11),"",PriceData!CH11)</f>
        <v/>
      </c>
      <c r="CI13" s="1" t="str">
        <f>IF(ISBLANK(PriceData!CI11),"",PriceData!CI11)</f>
        <v/>
      </c>
      <c r="CJ13" s="1" t="str">
        <f>IF(ISBLANK(PriceData!CJ11),"",PriceData!CJ11)</f>
        <v/>
      </c>
      <c r="CK13" s="1" t="str">
        <f>IF(ISBLANK(PriceData!CK11),"",PriceData!CK11)</f>
        <v/>
      </c>
      <c r="CL13" s="1" t="str">
        <f>IF(ISBLANK(PriceData!CL11),"",PriceData!CL11)</f>
        <v/>
      </c>
      <c r="CM13" s="1" t="str">
        <f>IF(ISBLANK(PriceData!CM11),"",PriceData!CM11)</f>
        <v/>
      </c>
      <c r="CN13" s="1" t="str">
        <f>IF(ISBLANK(PriceData!CN11),"",PriceData!CN11)</f>
        <v/>
      </c>
    </row>
    <row r="14" spans="1:92" x14ac:dyDescent="0.25">
      <c r="B14" s="1" t="str">
        <f>IF(ISBLANK(PriceData!A12),"",PriceData!A12)</f>
        <v/>
      </c>
      <c r="C14" s="1" t="str">
        <f>IF(ISBLANK(PriceData!C12),"",PriceData!C12)</f>
        <v/>
      </c>
      <c r="D14" s="1" t="str">
        <f>IF(ISBLANK(PriceData!D12),"",PriceData!D12)</f>
        <v/>
      </c>
      <c r="E14" s="1" t="str">
        <f>IF(ISBLANK(PriceData!E12),"",PriceData!E12)</f>
        <v/>
      </c>
      <c r="F14" s="1" t="str">
        <f>IF(ISBLANK(PriceData!F12),"",PriceData!F12)</f>
        <v/>
      </c>
      <c r="G14" s="1" t="str">
        <f>IF(ISBLANK(PriceData!G12),"",PriceData!G12)</f>
        <v/>
      </c>
      <c r="H14" s="1" t="str">
        <f>IF(ISBLANK(PriceData!H12),"",PriceData!H12)</f>
        <v/>
      </c>
      <c r="I14" s="1" t="str">
        <f>IF(ISBLANK(PriceData!I12),"",PriceData!I12)</f>
        <v/>
      </c>
      <c r="J14" s="1" t="str">
        <f>IF(ISBLANK(PriceData!J12),"",PriceData!J12)</f>
        <v/>
      </c>
      <c r="K14" s="1" t="str">
        <f>IF(ISBLANK(PriceData!K12),"",PriceData!K12)</f>
        <v/>
      </c>
      <c r="L14" s="1" t="str">
        <f>IF(ISBLANK(PriceData!L12),"",PriceData!L12)</f>
        <v/>
      </c>
      <c r="M14" s="1" t="str">
        <f>IF(ISBLANK(PriceData!M12),"",PriceData!M12)</f>
        <v/>
      </c>
      <c r="N14" s="1" t="str">
        <f>IF(ISBLANK(PriceData!N12),"",PriceData!N12)</f>
        <v/>
      </c>
      <c r="O14" s="1" t="str">
        <f>IF(ISBLANK(PriceData!O12),"",PriceData!O12)</f>
        <v/>
      </c>
      <c r="P14" s="1" t="str">
        <f>IF(ISBLANK(PriceData!P12),"",PriceData!P12)</f>
        <v/>
      </c>
      <c r="Q14" s="1" t="str">
        <f>IF(ISBLANK(PriceData!Q12),"",PriceData!Q12)</f>
        <v/>
      </c>
      <c r="R14" s="1" t="str">
        <f>IF(ISBLANK(PriceData!R12),"",PriceData!R12)</f>
        <v/>
      </c>
      <c r="S14" s="1" t="str">
        <f>IF(ISBLANK(PriceData!S12),"",PriceData!S12)</f>
        <v/>
      </c>
      <c r="T14" s="1" t="str">
        <f>IF(ISBLANK(PriceData!T12),"",PriceData!T12)</f>
        <v/>
      </c>
      <c r="U14" s="1" t="str">
        <f>IF(ISBLANK(PriceData!U12),"",PriceData!U12)</f>
        <v/>
      </c>
      <c r="V14" s="1" t="str">
        <f>IF(ISBLANK(PriceData!V12),"",PriceData!V12)</f>
        <v/>
      </c>
      <c r="W14" s="1" t="str">
        <f>IF(ISBLANK(PriceData!W12),"",PriceData!W12)</f>
        <v/>
      </c>
      <c r="X14" s="1" t="str">
        <f>IF(ISBLANK(PriceData!X12),"",PriceData!X12)</f>
        <v/>
      </c>
      <c r="Y14" s="1" t="str">
        <f>IF(ISBLANK(PriceData!Y12),"",PriceData!Y12)</f>
        <v/>
      </c>
      <c r="Z14" s="1" t="str">
        <f>IF(ISBLANK(PriceData!Z12),"",PriceData!Z12)</f>
        <v/>
      </c>
      <c r="AA14" s="1" t="str">
        <f>IF(ISBLANK(PriceData!AA12),"",PriceData!AA12)</f>
        <v/>
      </c>
      <c r="AB14" s="1" t="str">
        <f>IF(ISBLANK(PriceData!AB12),"",PriceData!AB12)</f>
        <v/>
      </c>
      <c r="AC14" s="1" t="str">
        <f>IF(ISBLANK(PriceData!AC12),"",PriceData!AC12)</f>
        <v/>
      </c>
      <c r="AD14" s="1" t="str">
        <f>IF(ISBLANK(PriceData!AD12),"",PriceData!AD12)</f>
        <v/>
      </c>
      <c r="AE14" s="1" t="str">
        <f>IF(ISBLANK(PriceData!AE12),"",PriceData!AE12)</f>
        <v/>
      </c>
      <c r="AF14" s="1" t="str">
        <f>IF(ISBLANK(PriceData!AF12),"",PriceData!AF12)</f>
        <v/>
      </c>
      <c r="AG14" s="1" t="str">
        <f>IF(ISBLANK(PriceData!AG12),"",PriceData!AG12)</f>
        <v/>
      </c>
      <c r="AH14" s="1" t="str">
        <f>IF(ISBLANK(PriceData!AH12),"",PriceData!AH12)</f>
        <v/>
      </c>
      <c r="AI14" s="1" t="str">
        <f>IF(ISBLANK(PriceData!AI12),"",PriceData!AI12)</f>
        <v/>
      </c>
      <c r="AJ14" s="1" t="str">
        <f>IF(ISBLANK(PriceData!AJ12),"",PriceData!AJ12)</f>
        <v/>
      </c>
      <c r="AK14" s="1" t="str">
        <f>IF(ISBLANK(PriceData!AK12),"",PriceData!AK12)</f>
        <v/>
      </c>
      <c r="AL14" s="1" t="str">
        <f>IF(ISBLANK(PriceData!AL12),"",PriceData!AL12)</f>
        <v/>
      </c>
      <c r="AM14" s="1" t="str">
        <f>IF(ISBLANK(PriceData!AM12),"",PriceData!AM12)</f>
        <v/>
      </c>
      <c r="AN14" s="1" t="str">
        <f>IF(ISBLANK(PriceData!AN12),"",PriceData!AN12)</f>
        <v/>
      </c>
      <c r="AO14" s="1" t="str">
        <f>IF(ISBLANK(PriceData!AO12),"",PriceData!AO12)</f>
        <v/>
      </c>
      <c r="AP14" s="1" t="str">
        <f>IF(ISBLANK(PriceData!AP12),"",PriceData!AP12)</f>
        <v/>
      </c>
      <c r="AQ14" s="1" t="str">
        <f>IF(ISBLANK(PriceData!AQ12),"",PriceData!AQ12)</f>
        <v/>
      </c>
      <c r="AR14" s="1" t="str">
        <f>IF(ISBLANK(PriceData!AR12),"",PriceData!AR12)</f>
        <v/>
      </c>
      <c r="AS14" s="1" t="str">
        <f>IF(ISBLANK(PriceData!AS12),"",PriceData!AS12)</f>
        <v/>
      </c>
      <c r="AT14" s="1" t="str">
        <f>IF(ISBLANK(PriceData!AT12),"",PriceData!AT12)</f>
        <v/>
      </c>
      <c r="AU14" s="1" t="str">
        <f>IF(ISBLANK(PriceData!AU12),"",PriceData!AU12)</f>
        <v/>
      </c>
      <c r="AV14" s="1" t="str">
        <f>IF(ISBLANK(PriceData!AV12),"",PriceData!AV12)</f>
        <v/>
      </c>
      <c r="AW14" s="1" t="str">
        <f>IF(ISBLANK(PriceData!AW12),"",PriceData!AW12)</f>
        <v/>
      </c>
      <c r="AX14" s="1" t="str">
        <f>IF(ISBLANK(PriceData!AX12),"",PriceData!AX12)</f>
        <v/>
      </c>
      <c r="AY14" s="1" t="str">
        <f>IF(ISBLANK(PriceData!AY12),"",PriceData!AY12)</f>
        <v/>
      </c>
      <c r="AZ14" s="1" t="str">
        <f>IF(ISBLANK(PriceData!AZ12),"",PriceData!AZ12)</f>
        <v/>
      </c>
      <c r="BA14" s="1" t="str">
        <f>IF(ISBLANK(PriceData!BA12),"",PriceData!BA12)</f>
        <v/>
      </c>
      <c r="BB14" s="1" t="str">
        <f>IF(ISBLANK(PriceData!BB12),"",PriceData!BB12)</f>
        <v/>
      </c>
      <c r="BC14" s="1" t="str">
        <f>IF(ISBLANK(PriceData!BC12),"",PriceData!BC12)</f>
        <v/>
      </c>
      <c r="BD14" s="1" t="str">
        <f>IF(ISBLANK(PriceData!BD12),"",PriceData!BD12)</f>
        <v/>
      </c>
      <c r="BE14" s="1" t="str">
        <f>IF(ISBLANK(PriceData!BE12),"",PriceData!BE12)</f>
        <v/>
      </c>
      <c r="BF14" s="1" t="str">
        <f>IF(ISBLANK(PriceData!BF12),"",PriceData!BF12)</f>
        <v/>
      </c>
      <c r="BG14" s="1" t="str">
        <f>IF(ISBLANK(PriceData!BG12),"",PriceData!BG12)</f>
        <v/>
      </c>
      <c r="BH14" s="1" t="str">
        <f>IF(ISBLANK(PriceData!BH12),"",PriceData!BH12)</f>
        <v/>
      </c>
      <c r="BI14" s="1" t="str">
        <f>IF(ISBLANK(PriceData!BI12),"",PriceData!BI12)</f>
        <v/>
      </c>
      <c r="BJ14" s="1" t="str">
        <f>IF(ISBLANK(PriceData!BJ12),"",PriceData!BJ12)</f>
        <v/>
      </c>
      <c r="BK14" s="1" t="str">
        <f>IF(ISBLANK(PriceData!BK12),"",PriceData!BK12)</f>
        <v/>
      </c>
      <c r="BL14" s="1" t="str">
        <f>IF(ISBLANK(PriceData!BL12),"",PriceData!BL12)</f>
        <v/>
      </c>
      <c r="BM14" s="1" t="str">
        <f>IF(ISBLANK(PriceData!BM12),"",PriceData!BM12)</f>
        <v/>
      </c>
      <c r="BN14" s="1" t="str">
        <f>IF(ISBLANK(PriceData!BN12),"",PriceData!BN12)</f>
        <v/>
      </c>
      <c r="BO14" s="1" t="str">
        <f>IF(ISBLANK(PriceData!BO12),"",PriceData!BO12)</f>
        <v/>
      </c>
      <c r="BP14" s="1" t="str">
        <f>IF(ISBLANK(PriceData!BP12),"",PriceData!BP12)</f>
        <v/>
      </c>
      <c r="BQ14" s="1" t="str">
        <f>IF(ISBLANK(PriceData!BQ12),"",PriceData!BQ12)</f>
        <v/>
      </c>
      <c r="BR14" s="1" t="str">
        <f>IF(ISBLANK(PriceData!BR12),"",PriceData!BR12)</f>
        <v/>
      </c>
      <c r="BS14" s="1" t="str">
        <f>IF(ISBLANK(PriceData!BS12),"",PriceData!BS12)</f>
        <v/>
      </c>
      <c r="BT14" s="1" t="str">
        <f>IF(ISBLANK(PriceData!BT12),"",PriceData!BT12)</f>
        <v/>
      </c>
      <c r="BU14" s="1" t="str">
        <f>IF(ISBLANK(PriceData!BU12),"",PriceData!BU12)</f>
        <v/>
      </c>
      <c r="BV14" s="1" t="str">
        <f>IF(ISBLANK(PriceData!BV12),"",PriceData!BV12)</f>
        <v/>
      </c>
      <c r="BW14" s="1" t="str">
        <f>IF(ISBLANK(PriceData!BW12),"",PriceData!BW12)</f>
        <v/>
      </c>
      <c r="BX14" s="1" t="str">
        <f>IF(ISBLANK(PriceData!BX12),"",PriceData!BX12)</f>
        <v/>
      </c>
      <c r="BY14" s="1" t="str">
        <f>IF(ISBLANK(PriceData!BY12),"",PriceData!BY12)</f>
        <v/>
      </c>
      <c r="BZ14" s="1" t="str">
        <f>IF(ISBLANK(PriceData!BZ12),"",PriceData!BZ12)</f>
        <v/>
      </c>
      <c r="CA14" s="1" t="str">
        <f>IF(ISBLANK(PriceData!CA12),"",PriceData!CA12)</f>
        <v/>
      </c>
      <c r="CB14" s="1" t="str">
        <f>IF(ISBLANK(PriceData!CB12),"",PriceData!CB12)</f>
        <v/>
      </c>
      <c r="CC14" s="1" t="str">
        <f>IF(ISBLANK(PriceData!CC12),"",PriceData!CC12)</f>
        <v/>
      </c>
      <c r="CD14" s="1" t="str">
        <f>IF(ISBLANK(PriceData!CD12),"",PriceData!CD12)</f>
        <v/>
      </c>
      <c r="CE14" s="1" t="str">
        <f>IF(ISBLANK(PriceData!CE12),"",PriceData!CE12)</f>
        <v/>
      </c>
      <c r="CF14" s="1" t="str">
        <f>IF(ISBLANK(PriceData!CF12),"",PriceData!CF12)</f>
        <v/>
      </c>
      <c r="CG14" s="1" t="str">
        <f>IF(ISBLANK(PriceData!CG12),"",PriceData!CG12)</f>
        <v/>
      </c>
      <c r="CH14" s="1" t="str">
        <f>IF(ISBLANK(PriceData!CH12),"",PriceData!CH12)</f>
        <v/>
      </c>
      <c r="CI14" s="1" t="str">
        <f>IF(ISBLANK(PriceData!CI12),"",PriceData!CI12)</f>
        <v/>
      </c>
      <c r="CJ14" s="1" t="str">
        <f>IF(ISBLANK(PriceData!CJ12),"",PriceData!CJ12)</f>
        <v/>
      </c>
      <c r="CK14" s="1" t="str">
        <f>IF(ISBLANK(PriceData!CK12),"",PriceData!CK12)</f>
        <v/>
      </c>
      <c r="CL14" s="1" t="str">
        <f>IF(ISBLANK(PriceData!CL12),"",PriceData!CL12)</f>
        <v/>
      </c>
      <c r="CM14" s="1" t="str">
        <f>IF(ISBLANK(PriceData!CM12),"",PriceData!CM12)</f>
        <v/>
      </c>
      <c r="CN14" s="1" t="str">
        <f>IF(ISBLANK(PriceData!CN12),"",PriceData!CN12)</f>
        <v/>
      </c>
    </row>
    <row r="15" spans="1:92" x14ac:dyDescent="0.25">
      <c r="B15" s="1" t="str">
        <f>IF(ISBLANK(PriceData!A13),"",PriceData!A13)</f>
        <v/>
      </c>
      <c r="C15" s="1" t="str">
        <f>IF(ISBLANK(PriceData!C13),"",PriceData!C13)</f>
        <v/>
      </c>
      <c r="D15" s="1" t="str">
        <f>IF(ISBLANK(PriceData!D13),"",PriceData!D13)</f>
        <v/>
      </c>
      <c r="E15" s="1" t="str">
        <f>IF(ISBLANK(PriceData!E13),"",PriceData!E13)</f>
        <v/>
      </c>
      <c r="F15" s="1" t="str">
        <f>IF(ISBLANK(PriceData!F13),"",PriceData!F13)</f>
        <v/>
      </c>
      <c r="G15" s="1" t="str">
        <f>IF(ISBLANK(PriceData!G13),"",PriceData!G13)</f>
        <v/>
      </c>
      <c r="H15" s="1" t="str">
        <f>IF(ISBLANK(PriceData!H13),"",PriceData!H13)</f>
        <v/>
      </c>
      <c r="I15" s="1" t="str">
        <f>IF(ISBLANK(PriceData!I13),"",PriceData!I13)</f>
        <v/>
      </c>
      <c r="J15" s="1" t="str">
        <f>IF(ISBLANK(PriceData!J13),"",PriceData!J13)</f>
        <v/>
      </c>
      <c r="K15" s="1" t="str">
        <f>IF(ISBLANK(PriceData!K13),"",PriceData!K13)</f>
        <v/>
      </c>
      <c r="L15" s="1" t="str">
        <f>IF(ISBLANK(PriceData!L13),"",PriceData!L13)</f>
        <v/>
      </c>
      <c r="M15" s="1" t="str">
        <f>IF(ISBLANK(PriceData!M13),"",PriceData!M13)</f>
        <v/>
      </c>
      <c r="N15" s="1" t="str">
        <f>IF(ISBLANK(PriceData!N13),"",PriceData!N13)</f>
        <v/>
      </c>
      <c r="O15" s="1" t="str">
        <f>IF(ISBLANK(PriceData!O13),"",PriceData!O13)</f>
        <v/>
      </c>
      <c r="P15" s="1" t="str">
        <f>IF(ISBLANK(PriceData!P13),"",PriceData!P13)</f>
        <v/>
      </c>
      <c r="Q15" s="1" t="str">
        <f>IF(ISBLANK(PriceData!Q13),"",PriceData!Q13)</f>
        <v/>
      </c>
      <c r="R15" s="1" t="str">
        <f>IF(ISBLANK(PriceData!R13),"",PriceData!R13)</f>
        <v/>
      </c>
      <c r="S15" s="1" t="str">
        <f>IF(ISBLANK(PriceData!S13),"",PriceData!S13)</f>
        <v/>
      </c>
      <c r="T15" s="1" t="str">
        <f>IF(ISBLANK(PriceData!T13),"",PriceData!T13)</f>
        <v/>
      </c>
      <c r="U15" s="1" t="str">
        <f>IF(ISBLANK(PriceData!U13),"",PriceData!U13)</f>
        <v/>
      </c>
      <c r="V15" s="1" t="str">
        <f>IF(ISBLANK(PriceData!V13),"",PriceData!V13)</f>
        <v/>
      </c>
      <c r="W15" s="1" t="str">
        <f>IF(ISBLANK(PriceData!W13),"",PriceData!W13)</f>
        <v/>
      </c>
      <c r="X15" s="1" t="str">
        <f>IF(ISBLANK(PriceData!X13),"",PriceData!X13)</f>
        <v/>
      </c>
      <c r="Y15" s="1" t="str">
        <f>IF(ISBLANK(PriceData!Y13),"",PriceData!Y13)</f>
        <v/>
      </c>
      <c r="Z15" s="1" t="str">
        <f>IF(ISBLANK(PriceData!Z13),"",PriceData!Z13)</f>
        <v/>
      </c>
      <c r="AA15" s="1" t="str">
        <f>IF(ISBLANK(PriceData!AA13),"",PriceData!AA13)</f>
        <v/>
      </c>
      <c r="AB15" s="1" t="str">
        <f>IF(ISBLANK(PriceData!AB13),"",PriceData!AB13)</f>
        <v/>
      </c>
      <c r="AC15" s="1" t="str">
        <f>IF(ISBLANK(PriceData!AC13),"",PriceData!AC13)</f>
        <v/>
      </c>
      <c r="AD15" s="1" t="str">
        <f>IF(ISBLANK(PriceData!AD13),"",PriceData!AD13)</f>
        <v/>
      </c>
      <c r="AE15" s="1" t="str">
        <f>IF(ISBLANK(PriceData!AE13),"",PriceData!AE13)</f>
        <v/>
      </c>
      <c r="AF15" s="1" t="str">
        <f>IF(ISBLANK(PriceData!AF13),"",PriceData!AF13)</f>
        <v/>
      </c>
      <c r="AG15" s="1" t="str">
        <f>IF(ISBLANK(PriceData!AG13),"",PriceData!AG13)</f>
        <v/>
      </c>
      <c r="AH15" s="1" t="str">
        <f>IF(ISBLANK(PriceData!AH13),"",PriceData!AH13)</f>
        <v/>
      </c>
      <c r="AI15" s="1" t="str">
        <f>IF(ISBLANK(PriceData!AI13),"",PriceData!AI13)</f>
        <v/>
      </c>
      <c r="AJ15" s="1" t="str">
        <f>IF(ISBLANK(PriceData!AJ13),"",PriceData!AJ13)</f>
        <v/>
      </c>
      <c r="AK15" s="1" t="str">
        <f>IF(ISBLANK(PriceData!AK13),"",PriceData!AK13)</f>
        <v/>
      </c>
      <c r="AL15" s="1" t="str">
        <f>IF(ISBLANK(PriceData!AL13),"",PriceData!AL13)</f>
        <v/>
      </c>
      <c r="AM15" s="1" t="str">
        <f>IF(ISBLANK(PriceData!AM13),"",PriceData!AM13)</f>
        <v/>
      </c>
      <c r="AN15" s="1" t="str">
        <f>IF(ISBLANK(PriceData!AN13),"",PriceData!AN13)</f>
        <v/>
      </c>
      <c r="AO15" s="1" t="str">
        <f>IF(ISBLANK(PriceData!AO13),"",PriceData!AO13)</f>
        <v/>
      </c>
      <c r="AP15" s="1" t="str">
        <f>IF(ISBLANK(PriceData!AP13),"",PriceData!AP13)</f>
        <v/>
      </c>
      <c r="AQ15" s="1" t="str">
        <f>IF(ISBLANK(PriceData!AQ13),"",PriceData!AQ13)</f>
        <v/>
      </c>
      <c r="AR15" s="1" t="str">
        <f>IF(ISBLANK(PriceData!AR13),"",PriceData!AR13)</f>
        <v/>
      </c>
      <c r="AS15" s="1" t="str">
        <f>IF(ISBLANK(PriceData!AS13),"",PriceData!AS13)</f>
        <v/>
      </c>
      <c r="AT15" s="1" t="str">
        <f>IF(ISBLANK(PriceData!AT13),"",PriceData!AT13)</f>
        <v/>
      </c>
      <c r="AU15" s="1" t="str">
        <f>IF(ISBLANK(PriceData!AU13),"",PriceData!AU13)</f>
        <v/>
      </c>
      <c r="AV15" s="1" t="str">
        <f>IF(ISBLANK(PriceData!AV13),"",PriceData!AV13)</f>
        <v/>
      </c>
      <c r="AW15" s="1" t="str">
        <f>IF(ISBLANK(PriceData!AW13),"",PriceData!AW13)</f>
        <v/>
      </c>
      <c r="AX15" s="1" t="str">
        <f>IF(ISBLANK(PriceData!AX13),"",PriceData!AX13)</f>
        <v/>
      </c>
      <c r="AY15" s="1" t="str">
        <f>IF(ISBLANK(PriceData!AY13),"",PriceData!AY13)</f>
        <v/>
      </c>
      <c r="AZ15" s="1" t="str">
        <f>IF(ISBLANK(PriceData!AZ13),"",PriceData!AZ13)</f>
        <v/>
      </c>
      <c r="BA15" s="1" t="str">
        <f>IF(ISBLANK(PriceData!BA13),"",PriceData!BA13)</f>
        <v/>
      </c>
      <c r="BB15" s="1" t="str">
        <f>IF(ISBLANK(PriceData!BB13),"",PriceData!BB13)</f>
        <v/>
      </c>
      <c r="BC15" s="1" t="str">
        <f>IF(ISBLANK(PriceData!BC13),"",PriceData!BC13)</f>
        <v/>
      </c>
      <c r="BD15" s="1" t="str">
        <f>IF(ISBLANK(PriceData!BD13),"",PriceData!BD13)</f>
        <v/>
      </c>
      <c r="BE15" s="1" t="str">
        <f>IF(ISBLANK(PriceData!BE13),"",PriceData!BE13)</f>
        <v/>
      </c>
      <c r="BF15" s="1" t="str">
        <f>IF(ISBLANK(PriceData!BF13),"",PriceData!BF13)</f>
        <v/>
      </c>
      <c r="BG15" s="1" t="str">
        <f>IF(ISBLANK(PriceData!BG13),"",PriceData!BG13)</f>
        <v/>
      </c>
      <c r="BH15" s="1" t="str">
        <f>IF(ISBLANK(PriceData!BH13),"",PriceData!BH13)</f>
        <v/>
      </c>
      <c r="BI15" s="1" t="str">
        <f>IF(ISBLANK(PriceData!BI13),"",PriceData!BI13)</f>
        <v/>
      </c>
      <c r="BJ15" s="1" t="str">
        <f>IF(ISBLANK(PriceData!BJ13),"",PriceData!BJ13)</f>
        <v/>
      </c>
      <c r="BK15" s="1" t="str">
        <f>IF(ISBLANK(PriceData!BK13),"",PriceData!BK13)</f>
        <v/>
      </c>
      <c r="BL15" s="1" t="str">
        <f>IF(ISBLANK(PriceData!BL13),"",PriceData!BL13)</f>
        <v/>
      </c>
      <c r="BM15" s="1" t="str">
        <f>IF(ISBLANK(PriceData!BM13),"",PriceData!BM13)</f>
        <v/>
      </c>
      <c r="BN15" s="1" t="str">
        <f>IF(ISBLANK(PriceData!BN13),"",PriceData!BN13)</f>
        <v/>
      </c>
      <c r="BO15" s="1" t="str">
        <f>IF(ISBLANK(PriceData!BO13),"",PriceData!BO13)</f>
        <v/>
      </c>
      <c r="BP15" s="1" t="str">
        <f>IF(ISBLANK(PriceData!BP13),"",PriceData!BP13)</f>
        <v/>
      </c>
      <c r="BQ15" s="1" t="str">
        <f>IF(ISBLANK(PriceData!BQ13),"",PriceData!BQ13)</f>
        <v/>
      </c>
      <c r="BR15" s="1" t="str">
        <f>IF(ISBLANK(PriceData!BR13),"",PriceData!BR13)</f>
        <v/>
      </c>
      <c r="BS15" s="1" t="str">
        <f>IF(ISBLANK(PriceData!BS13),"",PriceData!BS13)</f>
        <v/>
      </c>
      <c r="BT15" s="1" t="str">
        <f>IF(ISBLANK(PriceData!BT13),"",PriceData!BT13)</f>
        <v/>
      </c>
      <c r="BU15" s="1" t="str">
        <f>IF(ISBLANK(PriceData!BU13),"",PriceData!BU13)</f>
        <v/>
      </c>
      <c r="BV15" s="1" t="str">
        <f>IF(ISBLANK(PriceData!BV13),"",PriceData!BV13)</f>
        <v/>
      </c>
      <c r="BW15" s="1" t="str">
        <f>IF(ISBLANK(PriceData!BW13),"",PriceData!BW13)</f>
        <v/>
      </c>
      <c r="BX15" s="1" t="str">
        <f>IF(ISBLANK(PriceData!BX13),"",PriceData!BX13)</f>
        <v/>
      </c>
      <c r="BY15" s="1" t="str">
        <f>IF(ISBLANK(PriceData!BY13),"",PriceData!BY13)</f>
        <v/>
      </c>
      <c r="BZ15" s="1" t="str">
        <f>IF(ISBLANK(PriceData!BZ13),"",PriceData!BZ13)</f>
        <v/>
      </c>
      <c r="CA15" s="1" t="str">
        <f>IF(ISBLANK(PriceData!CA13),"",PriceData!CA13)</f>
        <v/>
      </c>
      <c r="CB15" s="1" t="str">
        <f>IF(ISBLANK(PriceData!CB13),"",PriceData!CB13)</f>
        <v/>
      </c>
      <c r="CC15" s="1" t="str">
        <f>IF(ISBLANK(PriceData!CC13),"",PriceData!CC13)</f>
        <v/>
      </c>
      <c r="CD15" s="1" t="str">
        <f>IF(ISBLANK(PriceData!CD13),"",PriceData!CD13)</f>
        <v/>
      </c>
      <c r="CE15" s="1" t="str">
        <f>IF(ISBLANK(PriceData!CE13),"",PriceData!CE13)</f>
        <v/>
      </c>
      <c r="CF15" s="1" t="str">
        <f>IF(ISBLANK(PriceData!CF13),"",PriceData!CF13)</f>
        <v/>
      </c>
      <c r="CG15" s="1" t="str">
        <f>IF(ISBLANK(PriceData!CG13),"",PriceData!CG13)</f>
        <v/>
      </c>
      <c r="CH15" s="1" t="str">
        <f>IF(ISBLANK(PriceData!CH13),"",PriceData!CH13)</f>
        <v/>
      </c>
      <c r="CI15" s="1" t="str">
        <f>IF(ISBLANK(PriceData!CI13),"",PriceData!CI13)</f>
        <v/>
      </c>
      <c r="CJ15" s="1" t="str">
        <f>IF(ISBLANK(PriceData!CJ13),"",PriceData!CJ13)</f>
        <v/>
      </c>
      <c r="CK15" s="1" t="str">
        <f>IF(ISBLANK(PriceData!CK13),"",PriceData!CK13)</f>
        <v/>
      </c>
      <c r="CL15" s="1" t="str">
        <f>IF(ISBLANK(PriceData!CL13),"",PriceData!CL13)</f>
        <v/>
      </c>
      <c r="CM15" s="1" t="str">
        <f>IF(ISBLANK(PriceData!CM13),"",PriceData!CM13)</f>
        <v/>
      </c>
      <c r="CN15" s="1" t="str">
        <f>IF(ISBLANK(PriceData!CN13),"",PriceData!CN13)</f>
        <v/>
      </c>
    </row>
    <row r="16" spans="1:92" x14ac:dyDescent="0.25">
      <c r="B16" s="1" t="str">
        <f>IF(ISBLANK(PriceData!A14),"",PriceData!A14)</f>
        <v/>
      </c>
      <c r="C16" s="1" t="str">
        <f>IF(ISBLANK(PriceData!C14),"",PriceData!C14)</f>
        <v/>
      </c>
      <c r="D16" s="1" t="str">
        <f>IF(ISBLANK(PriceData!D14),"",PriceData!D14)</f>
        <v/>
      </c>
      <c r="E16" s="1" t="str">
        <f>IF(ISBLANK(PriceData!E14),"",PriceData!E14)</f>
        <v/>
      </c>
      <c r="F16" s="1" t="str">
        <f>IF(ISBLANK(PriceData!F14),"",PriceData!F14)</f>
        <v/>
      </c>
      <c r="G16" s="1" t="str">
        <f>IF(ISBLANK(PriceData!G14),"",PriceData!G14)</f>
        <v/>
      </c>
      <c r="H16" s="1" t="str">
        <f>IF(ISBLANK(PriceData!H14),"",PriceData!H14)</f>
        <v/>
      </c>
      <c r="I16" s="1" t="str">
        <f>IF(ISBLANK(PriceData!I14),"",PriceData!I14)</f>
        <v/>
      </c>
      <c r="J16" s="1" t="str">
        <f>IF(ISBLANK(PriceData!J14),"",PriceData!J14)</f>
        <v/>
      </c>
      <c r="K16" s="1" t="str">
        <f>IF(ISBLANK(PriceData!K14),"",PriceData!K14)</f>
        <v/>
      </c>
      <c r="L16" s="1" t="str">
        <f>IF(ISBLANK(PriceData!L14),"",PriceData!L14)</f>
        <v/>
      </c>
      <c r="M16" s="1" t="str">
        <f>IF(ISBLANK(PriceData!M14),"",PriceData!M14)</f>
        <v/>
      </c>
      <c r="N16" s="1" t="str">
        <f>IF(ISBLANK(PriceData!N14),"",PriceData!N14)</f>
        <v/>
      </c>
      <c r="O16" s="1" t="str">
        <f>IF(ISBLANK(PriceData!O14),"",PriceData!O14)</f>
        <v/>
      </c>
      <c r="P16" s="1" t="str">
        <f>IF(ISBLANK(PriceData!P14),"",PriceData!P14)</f>
        <v/>
      </c>
      <c r="Q16" s="1" t="str">
        <f>IF(ISBLANK(PriceData!Q14),"",PriceData!Q14)</f>
        <v/>
      </c>
      <c r="R16" s="1" t="str">
        <f>IF(ISBLANK(PriceData!R14),"",PriceData!R14)</f>
        <v/>
      </c>
      <c r="S16" s="1" t="str">
        <f>IF(ISBLANK(PriceData!S14),"",PriceData!S14)</f>
        <v/>
      </c>
      <c r="T16" s="1" t="str">
        <f>IF(ISBLANK(PriceData!T14),"",PriceData!T14)</f>
        <v/>
      </c>
      <c r="U16" s="1" t="str">
        <f>IF(ISBLANK(PriceData!U14),"",PriceData!U14)</f>
        <v/>
      </c>
      <c r="V16" s="1" t="str">
        <f>IF(ISBLANK(PriceData!V14),"",PriceData!V14)</f>
        <v/>
      </c>
      <c r="W16" s="1" t="str">
        <f>IF(ISBLANK(PriceData!W14),"",PriceData!W14)</f>
        <v/>
      </c>
      <c r="X16" s="1" t="str">
        <f>IF(ISBLANK(PriceData!X14),"",PriceData!X14)</f>
        <v/>
      </c>
      <c r="Y16" s="1" t="str">
        <f>IF(ISBLANK(PriceData!Y14),"",PriceData!Y14)</f>
        <v/>
      </c>
      <c r="Z16" s="1" t="str">
        <f>IF(ISBLANK(PriceData!Z14),"",PriceData!Z14)</f>
        <v/>
      </c>
      <c r="AA16" s="1" t="str">
        <f>IF(ISBLANK(PriceData!AA14),"",PriceData!AA14)</f>
        <v/>
      </c>
      <c r="AB16" s="1" t="str">
        <f>IF(ISBLANK(PriceData!AB14),"",PriceData!AB14)</f>
        <v/>
      </c>
      <c r="AC16" s="1" t="str">
        <f>IF(ISBLANK(PriceData!AC14),"",PriceData!AC14)</f>
        <v/>
      </c>
      <c r="AD16" s="1" t="str">
        <f>IF(ISBLANK(PriceData!AD14),"",PriceData!AD14)</f>
        <v/>
      </c>
      <c r="AE16" s="1" t="str">
        <f>IF(ISBLANK(PriceData!AE14),"",PriceData!AE14)</f>
        <v/>
      </c>
      <c r="AF16" s="1" t="str">
        <f>IF(ISBLANK(PriceData!AF14),"",PriceData!AF14)</f>
        <v/>
      </c>
      <c r="AG16" s="1" t="str">
        <f>IF(ISBLANK(PriceData!AG14),"",PriceData!AG14)</f>
        <v/>
      </c>
      <c r="AH16" s="1" t="str">
        <f>IF(ISBLANK(PriceData!AH14),"",PriceData!AH14)</f>
        <v/>
      </c>
      <c r="AI16" s="1" t="str">
        <f>IF(ISBLANK(PriceData!AI14),"",PriceData!AI14)</f>
        <v/>
      </c>
      <c r="AJ16" s="1" t="str">
        <f>IF(ISBLANK(PriceData!AJ14),"",PriceData!AJ14)</f>
        <v/>
      </c>
      <c r="AK16" s="1" t="str">
        <f>IF(ISBLANK(PriceData!AK14),"",PriceData!AK14)</f>
        <v/>
      </c>
      <c r="AL16" s="1" t="str">
        <f>IF(ISBLANK(PriceData!AL14),"",PriceData!AL14)</f>
        <v/>
      </c>
      <c r="AM16" s="1" t="str">
        <f>IF(ISBLANK(PriceData!AM14),"",PriceData!AM14)</f>
        <v/>
      </c>
      <c r="AN16" s="1" t="str">
        <f>IF(ISBLANK(PriceData!AN14),"",PriceData!AN14)</f>
        <v/>
      </c>
      <c r="AO16" s="1" t="str">
        <f>IF(ISBLANK(PriceData!AO14),"",PriceData!AO14)</f>
        <v/>
      </c>
      <c r="AP16" s="1" t="str">
        <f>IF(ISBLANK(PriceData!AP14),"",PriceData!AP14)</f>
        <v/>
      </c>
      <c r="AQ16" s="1" t="str">
        <f>IF(ISBLANK(PriceData!AQ14),"",PriceData!AQ14)</f>
        <v/>
      </c>
      <c r="AR16" s="1" t="str">
        <f>IF(ISBLANK(PriceData!AR14),"",PriceData!AR14)</f>
        <v/>
      </c>
      <c r="AS16" s="1" t="str">
        <f>IF(ISBLANK(PriceData!AS14),"",PriceData!AS14)</f>
        <v/>
      </c>
      <c r="AT16" s="1" t="str">
        <f>IF(ISBLANK(PriceData!AT14),"",PriceData!AT14)</f>
        <v/>
      </c>
      <c r="AU16" s="1" t="str">
        <f>IF(ISBLANK(PriceData!AU14),"",PriceData!AU14)</f>
        <v/>
      </c>
      <c r="AV16" s="1" t="str">
        <f>IF(ISBLANK(PriceData!AV14),"",PriceData!AV14)</f>
        <v/>
      </c>
      <c r="AW16" s="1" t="str">
        <f>IF(ISBLANK(PriceData!AW14),"",PriceData!AW14)</f>
        <v/>
      </c>
      <c r="AX16" s="1" t="str">
        <f>IF(ISBLANK(PriceData!AX14),"",PriceData!AX14)</f>
        <v/>
      </c>
      <c r="AY16" s="1" t="str">
        <f>IF(ISBLANK(PriceData!AY14),"",PriceData!AY14)</f>
        <v/>
      </c>
      <c r="AZ16" s="1" t="str">
        <f>IF(ISBLANK(PriceData!AZ14),"",PriceData!AZ14)</f>
        <v/>
      </c>
      <c r="BA16" s="1" t="str">
        <f>IF(ISBLANK(PriceData!BA14),"",PriceData!BA14)</f>
        <v/>
      </c>
      <c r="BB16" s="1" t="str">
        <f>IF(ISBLANK(PriceData!BB14),"",PriceData!BB14)</f>
        <v/>
      </c>
      <c r="BC16" s="1" t="str">
        <f>IF(ISBLANK(PriceData!BC14),"",PriceData!BC14)</f>
        <v/>
      </c>
      <c r="BD16" s="1" t="str">
        <f>IF(ISBLANK(PriceData!BD14),"",PriceData!BD14)</f>
        <v/>
      </c>
      <c r="BE16" s="1" t="str">
        <f>IF(ISBLANK(PriceData!BE14),"",PriceData!BE14)</f>
        <v/>
      </c>
      <c r="BF16" s="1" t="str">
        <f>IF(ISBLANK(PriceData!BF14),"",PriceData!BF14)</f>
        <v/>
      </c>
      <c r="BG16" s="1" t="str">
        <f>IF(ISBLANK(PriceData!BG14),"",PriceData!BG14)</f>
        <v/>
      </c>
      <c r="BH16" s="1" t="str">
        <f>IF(ISBLANK(PriceData!BH14),"",PriceData!BH14)</f>
        <v/>
      </c>
      <c r="BI16" s="1" t="str">
        <f>IF(ISBLANK(PriceData!BI14),"",PriceData!BI14)</f>
        <v/>
      </c>
      <c r="BJ16" s="1" t="str">
        <f>IF(ISBLANK(PriceData!BJ14),"",PriceData!BJ14)</f>
        <v/>
      </c>
      <c r="BK16" s="1" t="str">
        <f>IF(ISBLANK(PriceData!BK14),"",PriceData!BK14)</f>
        <v/>
      </c>
      <c r="BL16" s="1" t="str">
        <f>IF(ISBLANK(PriceData!BL14),"",PriceData!BL14)</f>
        <v/>
      </c>
      <c r="BM16" s="1" t="str">
        <f>IF(ISBLANK(PriceData!BM14),"",PriceData!BM14)</f>
        <v/>
      </c>
      <c r="BN16" s="1" t="str">
        <f>IF(ISBLANK(PriceData!BN14),"",PriceData!BN14)</f>
        <v/>
      </c>
      <c r="BO16" s="1" t="str">
        <f>IF(ISBLANK(PriceData!BO14),"",PriceData!BO14)</f>
        <v/>
      </c>
      <c r="BP16" s="1" t="str">
        <f>IF(ISBLANK(PriceData!BP14),"",PriceData!BP14)</f>
        <v/>
      </c>
      <c r="BQ16" s="1" t="str">
        <f>IF(ISBLANK(PriceData!BQ14),"",PriceData!BQ14)</f>
        <v/>
      </c>
      <c r="BR16" s="1" t="str">
        <f>IF(ISBLANK(PriceData!BR14),"",PriceData!BR14)</f>
        <v/>
      </c>
      <c r="BS16" s="1" t="str">
        <f>IF(ISBLANK(PriceData!BS14),"",PriceData!BS14)</f>
        <v/>
      </c>
      <c r="BT16" s="1" t="str">
        <f>IF(ISBLANK(PriceData!BT14),"",PriceData!BT14)</f>
        <v/>
      </c>
      <c r="BU16" s="1" t="str">
        <f>IF(ISBLANK(PriceData!BU14),"",PriceData!BU14)</f>
        <v/>
      </c>
      <c r="BV16" s="1" t="str">
        <f>IF(ISBLANK(PriceData!BV14),"",PriceData!BV14)</f>
        <v/>
      </c>
      <c r="BW16" s="1" t="str">
        <f>IF(ISBLANK(PriceData!BW14),"",PriceData!BW14)</f>
        <v/>
      </c>
      <c r="BX16" s="1" t="str">
        <f>IF(ISBLANK(PriceData!BX14),"",PriceData!BX14)</f>
        <v/>
      </c>
      <c r="BY16" s="1" t="str">
        <f>IF(ISBLANK(PriceData!BY14),"",PriceData!BY14)</f>
        <v/>
      </c>
      <c r="BZ16" s="1" t="str">
        <f>IF(ISBLANK(PriceData!BZ14),"",PriceData!BZ14)</f>
        <v/>
      </c>
      <c r="CA16" s="1" t="str">
        <f>IF(ISBLANK(PriceData!CA14),"",PriceData!CA14)</f>
        <v/>
      </c>
      <c r="CB16" s="1" t="str">
        <f>IF(ISBLANK(PriceData!CB14),"",PriceData!CB14)</f>
        <v/>
      </c>
      <c r="CC16" s="1" t="str">
        <f>IF(ISBLANK(PriceData!CC14),"",PriceData!CC14)</f>
        <v/>
      </c>
      <c r="CD16" s="1" t="str">
        <f>IF(ISBLANK(PriceData!CD14),"",PriceData!CD14)</f>
        <v/>
      </c>
      <c r="CE16" s="1" t="str">
        <f>IF(ISBLANK(PriceData!CE14),"",PriceData!CE14)</f>
        <v/>
      </c>
      <c r="CF16" s="1" t="str">
        <f>IF(ISBLANK(PriceData!CF14),"",PriceData!CF14)</f>
        <v/>
      </c>
      <c r="CG16" s="1" t="str">
        <f>IF(ISBLANK(PriceData!CG14),"",PriceData!CG14)</f>
        <v/>
      </c>
      <c r="CH16" s="1" t="str">
        <f>IF(ISBLANK(PriceData!CH14),"",PriceData!CH14)</f>
        <v/>
      </c>
      <c r="CI16" s="1" t="str">
        <f>IF(ISBLANK(PriceData!CI14),"",PriceData!CI14)</f>
        <v/>
      </c>
      <c r="CJ16" s="1" t="str">
        <f>IF(ISBLANK(PriceData!CJ14),"",PriceData!CJ14)</f>
        <v/>
      </c>
      <c r="CK16" s="1" t="str">
        <f>IF(ISBLANK(PriceData!CK14),"",PriceData!CK14)</f>
        <v/>
      </c>
      <c r="CL16" s="1" t="str">
        <f>IF(ISBLANK(PriceData!CL14),"",PriceData!CL14)</f>
        <v/>
      </c>
      <c r="CM16" s="1" t="str">
        <f>IF(ISBLANK(PriceData!CM14),"",PriceData!CM14)</f>
        <v/>
      </c>
      <c r="CN16" s="1" t="str">
        <f>IF(ISBLANK(PriceData!CN14),"",PriceData!CN14)</f>
        <v/>
      </c>
    </row>
    <row r="17" spans="2:92" x14ac:dyDescent="0.25">
      <c r="B17" s="1" t="str">
        <f>IF(ISBLANK(PriceData!A15),"",PriceData!A15)</f>
        <v/>
      </c>
      <c r="C17" s="1" t="str">
        <f>IF(ISBLANK(PriceData!C15),"",PriceData!C15)</f>
        <v/>
      </c>
      <c r="D17" s="1" t="str">
        <f>IF(ISBLANK(PriceData!D15),"",PriceData!D15)</f>
        <v/>
      </c>
      <c r="E17" s="1" t="str">
        <f>IF(ISBLANK(PriceData!E15),"",PriceData!E15)</f>
        <v/>
      </c>
      <c r="F17" s="1" t="str">
        <f>IF(ISBLANK(PriceData!F15),"",PriceData!F15)</f>
        <v/>
      </c>
      <c r="G17" s="1" t="str">
        <f>IF(ISBLANK(PriceData!G15),"",PriceData!G15)</f>
        <v/>
      </c>
      <c r="H17" s="1" t="str">
        <f>IF(ISBLANK(PriceData!H15),"",PriceData!H15)</f>
        <v/>
      </c>
      <c r="I17" s="1" t="str">
        <f>IF(ISBLANK(PriceData!I15),"",PriceData!I15)</f>
        <v/>
      </c>
      <c r="J17" s="1" t="str">
        <f>IF(ISBLANK(PriceData!J15),"",PriceData!J15)</f>
        <v/>
      </c>
      <c r="K17" s="1" t="str">
        <f>IF(ISBLANK(PriceData!K15),"",PriceData!K15)</f>
        <v/>
      </c>
      <c r="L17" s="1" t="str">
        <f>IF(ISBLANK(PriceData!L15),"",PriceData!L15)</f>
        <v/>
      </c>
      <c r="M17" s="1" t="str">
        <f>IF(ISBLANK(PriceData!M15),"",PriceData!M15)</f>
        <v/>
      </c>
      <c r="N17" s="1" t="str">
        <f>IF(ISBLANK(PriceData!N15),"",PriceData!N15)</f>
        <v/>
      </c>
      <c r="O17" s="1" t="str">
        <f>IF(ISBLANK(PriceData!O15),"",PriceData!O15)</f>
        <v/>
      </c>
      <c r="P17" s="1" t="str">
        <f>IF(ISBLANK(PriceData!P15),"",PriceData!P15)</f>
        <v/>
      </c>
      <c r="Q17" s="1" t="str">
        <f>IF(ISBLANK(PriceData!Q15),"",PriceData!Q15)</f>
        <v/>
      </c>
      <c r="R17" s="1" t="str">
        <f>IF(ISBLANK(PriceData!R15),"",PriceData!R15)</f>
        <v/>
      </c>
      <c r="S17" s="1" t="str">
        <f>IF(ISBLANK(PriceData!S15),"",PriceData!S15)</f>
        <v/>
      </c>
      <c r="T17" s="1" t="str">
        <f>IF(ISBLANK(PriceData!T15),"",PriceData!T15)</f>
        <v/>
      </c>
      <c r="U17" s="1" t="str">
        <f>IF(ISBLANK(PriceData!U15),"",PriceData!U15)</f>
        <v/>
      </c>
      <c r="V17" s="1" t="str">
        <f>IF(ISBLANK(PriceData!V15),"",PriceData!V15)</f>
        <v/>
      </c>
      <c r="W17" s="1" t="str">
        <f>IF(ISBLANK(PriceData!W15),"",PriceData!W15)</f>
        <v/>
      </c>
      <c r="X17" s="1" t="str">
        <f>IF(ISBLANK(PriceData!X15),"",PriceData!X15)</f>
        <v/>
      </c>
      <c r="Y17" s="1" t="str">
        <f>IF(ISBLANK(PriceData!Y15),"",PriceData!Y15)</f>
        <v/>
      </c>
      <c r="Z17" s="1" t="str">
        <f>IF(ISBLANK(PriceData!Z15),"",PriceData!Z15)</f>
        <v/>
      </c>
      <c r="AA17" s="1" t="str">
        <f>IF(ISBLANK(PriceData!AA15),"",PriceData!AA15)</f>
        <v/>
      </c>
      <c r="AB17" s="1" t="str">
        <f>IF(ISBLANK(PriceData!AB15),"",PriceData!AB15)</f>
        <v/>
      </c>
      <c r="AC17" s="1" t="str">
        <f>IF(ISBLANK(PriceData!AC15),"",PriceData!AC15)</f>
        <v/>
      </c>
      <c r="AD17" s="1" t="str">
        <f>IF(ISBLANK(PriceData!AD15),"",PriceData!AD15)</f>
        <v/>
      </c>
      <c r="AE17" s="1" t="str">
        <f>IF(ISBLANK(PriceData!AE15),"",PriceData!AE15)</f>
        <v/>
      </c>
      <c r="AF17" s="1" t="str">
        <f>IF(ISBLANK(PriceData!AF15),"",PriceData!AF15)</f>
        <v/>
      </c>
      <c r="AG17" s="1" t="str">
        <f>IF(ISBLANK(PriceData!AG15),"",PriceData!AG15)</f>
        <v/>
      </c>
      <c r="AH17" s="1" t="str">
        <f>IF(ISBLANK(PriceData!AH15),"",PriceData!AH15)</f>
        <v/>
      </c>
      <c r="AI17" s="1" t="str">
        <f>IF(ISBLANK(PriceData!AI15),"",PriceData!AI15)</f>
        <v/>
      </c>
      <c r="AJ17" s="1" t="str">
        <f>IF(ISBLANK(PriceData!AJ15),"",PriceData!AJ15)</f>
        <v/>
      </c>
      <c r="AK17" s="1" t="str">
        <f>IF(ISBLANK(PriceData!AK15),"",PriceData!AK15)</f>
        <v/>
      </c>
      <c r="AL17" s="1" t="str">
        <f>IF(ISBLANK(PriceData!AL15),"",PriceData!AL15)</f>
        <v/>
      </c>
      <c r="AM17" s="1" t="str">
        <f>IF(ISBLANK(PriceData!AM15),"",PriceData!AM15)</f>
        <v/>
      </c>
      <c r="AN17" s="1" t="str">
        <f>IF(ISBLANK(PriceData!AN15),"",PriceData!AN15)</f>
        <v/>
      </c>
      <c r="AO17" s="1" t="str">
        <f>IF(ISBLANK(PriceData!AO15),"",PriceData!AO15)</f>
        <v/>
      </c>
      <c r="AP17" s="1" t="str">
        <f>IF(ISBLANK(PriceData!AP15),"",PriceData!AP15)</f>
        <v/>
      </c>
      <c r="AQ17" s="1" t="str">
        <f>IF(ISBLANK(PriceData!AQ15),"",PriceData!AQ15)</f>
        <v/>
      </c>
      <c r="AR17" s="1" t="str">
        <f>IF(ISBLANK(PriceData!AR15),"",PriceData!AR15)</f>
        <v/>
      </c>
      <c r="AS17" s="1" t="str">
        <f>IF(ISBLANK(PriceData!AS15),"",PriceData!AS15)</f>
        <v/>
      </c>
      <c r="AT17" s="1" t="str">
        <f>IF(ISBLANK(PriceData!AT15),"",PriceData!AT15)</f>
        <v/>
      </c>
      <c r="AU17" s="1" t="str">
        <f>IF(ISBLANK(PriceData!AU15),"",PriceData!AU15)</f>
        <v/>
      </c>
      <c r="AV17" s="1" t="str">
        <f>IF(ISBLANK(PriceData!AV15),"",PriceData!AV15)</f>
        <v/>
      </c>
      <c r="AW17" s="1" t="str">
        <f>IF(ISBLANK(PriceData!AW15),"",PriceData!AW15)</f>
        <v/>
      </c>
      <c r="AX17" s="1" t="str">
        <f>IF(ISBLANK(PriceData!AX15),"",PriceData!AX15)</f>
        <v/>
      </c>
      <c r="AY17" s="1" t="str">
        <f>IF(ISBLANK(PriceData!AY15),"",PriceData!AY15)</f>
        <v/>
      </c>
      <c r="AZ17" s="1" t="str">
        <f>IF(ISBLANK(PriceData!AZ15),"",PriceData!AZ15)</f>
        <v/>
      </c>
      <c r="BA17" s="1" t="str">
        <f>IF(ISBLANK(PriceData!BA15),"",PriceData!BA15)</f>
        <v/>
      </c>
      <c r="BB17" s="1" t="str">
        <f>IF(ISBLANK(PriceData!BB15),"",PriceData!BB15)</f>
        <v/>
      </c>
      <c r="BC17" s="1" t="str">
        <f>IF(ISBLANK(PriceData!BC15),"",PriceData!BC15)</f>
        <v/>
      </c>
      <c r="BD17" s="1" t="str">
        <f>IF(ISBLANK(PriceData!BD15),"",PriceData!BD15)</f>
        <v/>
      </c>
      <c r="BE17" s="1" t="str">
        <f>IF(ISBLANK(PriceData!BE15),"",PriceData!BE15)</f>
        <v/>
      </c>
      <c r="BF17" s="1" t="str">
        <f>IF(ISBLANK(PriceData!BF15),"",PriceData!BF15)</f>
        <v/>
      </c>
      <c r="BG17" s="1" t="str">
        <f>IF(ISBLANK(PriceData!BG15),"",PriceData!BG15)</f>
        <v/>
      </c>
      <c r="BH17" s="1" t="str">
        <f>IF(ISBLANK(PriceData!BH15),"",PriceData!BH15)</f>
        <v/>
      </c>
      <c r="BI17" s="1" t="str">
        <f>IF(ISBLANK(PriceData!BI15),"",PriceData!BI15)</f>
        <v/>
      </c>
      <c r="BJ17" s="1" t="str">
        <f>IF(ISBLANK(PriceData!BJ15),"",PriceData!BJ15)</f>
        <v/>
      </c>
      <c r="BK17" s="1" t="str">
        <f>IF(ISBLANK(PriceData!BK15),"",PriceData!BK15)</f>
        <v/>
      </c>
      <c r="BL17" s="1" t="str">
        <f>IF(ISBLANK(PriceData!BL15),"",PriceData!BL15)</f>
        <v/>
      </c>
      <c r="BM17" s="1" t="str">
        <f>IF(ISBLANK(PriceData!BM15),"",PriceData!BM15)</f>
        <v/>
      </c>
      <c r="BN17" s="1" t="str">
        <f>IF(ISBLANK(PriceData!BN15),"",PriceData!BN15)</f>
        <v/>
      </c>
      <c r="BO17" s="1" t="str">
        <f>IF(ISBLANK(PriceData!BO15),"",PriceData!BO15)</f>
        <v/>
      </c>
      <c r="BP17" s="1" t="str">
        <f>IF(ISBLANK(PriceData!BP15),"",PriceData!BP15)</f>
        <v/>
      </c>
      <c r="BQ17" s="1" t="str">
        <f>IF(ISBLANK(PriceData!BQ15),"",PriceData!BQ15)</f>
        <v/>
      </c>
      <c r="BR17" s="1" t="str">
        <f>IF(ISBLANK(PriceData!BR15),"",PriceData!BR15)</f>
        <v/>
      </c>
      <c r="BS17" s="1" t="str">
        <f>IF(ISBLANK(PriceData!BS15),"",PriceData!BS15)</f>
        <v/>
      </c>
      <c r="BT17" s="1" t="str">
        <f>IF(ISBLANK(PriceData!BT15),"",PriceData!BT15)</f>
        <v/>
      </c>
      <c r="BU17" s="1" t="str">
        <f>IF(ISBLANK(PriceData!BU15),"",PriceData!BU15)</f>
        <v/>
      </c>
      <c r="BV17" s="1" t="str">
        <f>IF(ISBLANK(PriceData!BV15),"",PriceData!BV15)</f>
        <v/>
      </c>
      <c r="BW17" s="1" t="str">
        <f>IF(ISBLANK(PriceData!BW15),"",PriceData!BW15)</f>
        <v/>
      </c>
      <c r="BX17" s="1" t="str">
        <f>IF(ISBLANK(PriceData!BX15),"",PriceData!BX15)</f>
        <v/>
      </c>
      <c r="BY17" s="1" t="str">
        <f>IF(ISBLANK(PriceData!BY15),"",PriceData!BY15)</f>
        <v/>
      </c>
      <c r="BZ17" s="1" t="str">
        <f>IF(ISBLANK(PriceData!BZ15),"",PriceData!BZ15)</f>
        <v/>
      </c>
      <c r="CA17" s="1" t="str">
        <f>IF(ISBLANK(PriceData!CA15),"",PriceData!CA15)</f>
        <v/>
      </c>
      <c r="CB17" s="1" t="str">
        <f>IF(ISBLANK(PriceData!CB15),"",PriceData!CB15)</f>
        <v/>
      </c>
      <c r="CC17" s="1" t="str">
        <f>IF(ISBLANK(PriceData!CC15),"",PriceData!CC15)</f>
        <v/>
      </c>
      <c r="CD17" s="1" t="str">
        <f>IF(ISBLANK(PriceData!CD15),"",PriceData!CD15)</f>
        <v/>
      </c>
      <c r="CE17" s="1" t="str">
        <f>IF(ISBLANK(PriceData!CE15),"",PriceData!CE15)</f>
        <v/>
      </c>
      <c r="CF17" s="1" t="str">
        <f>IF(ISBLANK(PriceData!CF15),"",PriceData!CF15)</f>
        <v/>
      </c>
      <c r="CG17" s="1" t="str">
        <f>IF(ISBLANK(PriceData!CG15),"",PriceData!CG15)</f>
        <v/>
      </c>
      <c r="CH17" s="1" t="str">
        <f>IF(ISBLANK(PriceData!CH15),"",PriceData!CH15)</f>
        <v/>
      </c>
      <c r="CI17" s="1" t="str">
        <f>IF(ISBLANK(PriceData!CI15),"",PriceData!CI15)</f>
        <v/>
      </c>
      <c r="CJ17" s="1" t="str">
        <f>IF(ISBLANK(PriceData!CJ15),"",PriceData!CJ15)</f>
        <v/>
      </c>
      <c r="CK17" s="1" t="str">
        <f>IF(ISBLANK(PriceData!CK15),"",PriceData!CK15)</f>
        <v/>
      </c>
      <c r="CL17" s="1" t="str">
        <f>IF(ISBLANK(PriceData!CL15),"",PriceData!CL15)</f>
        <v/>
      </c>
      <c r="CM17" s="1" t="str">
        <f>IF(ISBLANK(PriceData!CM15),"",PriceData!CM15)</f>
        <v/>
      </c>
      <c r="CN17" s="1" t="str">
        <f>IF(ISBLANK(PriceData!CN15),"",PriceData!CN15)</f>
        <v/>
      </c>
    </row>
    <row r="18" spans="2:92" x14ac:dyDescent="0.25">
      <c r="B18" s="1" t="str">
        <f>IF(ISBLANK(PriceData!A16),"",PriceData!A16)</f>
        <v/>
      </c>
      <c r="C18" s="1" t="str">
        <f>IF(ISBLANK(PriceData!C16),"",PriceData!C16)</f>
        <v/>
      </c>
      <c r="D18" s="1" t="str">
        <f>IF(ISBLANK(PriceData!D16),"",PriceData!D16)</f>
        <v/>
      </c>
      <c r="E18" s="1" t="str">
        <f>IF(ISBLANK(PriceData!E16),"",PriceData!E16)</f>
        <v/>
      </c>
      <c r="F18" s="1" t="str">
        <f>IF(ISBLANK(PriceData!F16),"",PriceData!F16)</f>
        <v/>
      </c>
      <c r="G18" s="1" t="str">
        <f>IF(ISBLANK(PriceData!G16),"",PriceData!G16)</f>
        <v/>
      </c>
      <c r="H18" s="1" t="str">
        <f>IF(ISBLANK(PriceData!H16),"",PriceData!H16)</f>
        <v/>
      </c>
      <c r="I18" s="1" t="str">
        <f>IF(ISBLANK(PriceData!I16),"",PriceData!I16)</f>
        <v/>
      </c>
      <c r="J18" s="1" t="str">
        <f>IF(ISBLANK(PriceData!J16),"",PriceData!J16)</f>
        <v/>
      </c>
      <c r="K18" s="1" t="str">
        <f>IF(ISBLANK(PriceData!K16),"",PriceData!K16)</f>
        <v/>
      </c>
      <c r="L18" s="1" t="str">
        <f>IF(ISBLANK(PriceData!L16),"",PriceData!L16)</f>
        <v/>
      </c>
      <c r="M18" s="1" t="str">
        <f>IF(ISBLANK(PriceData!M16),"",PriceData!M16)</f>
        <v/>
      </c>
      <c r="N18" s="1" t="str">
        <f>IF(ISBLANK(PriceData!N16),"",PriceData!N16)</f>
        <v/>
      </c>
      <c r="O18" s="1" t="str">
        <f>IF(ISBLANK(PriceData!O16),"",PriceData!O16)</f>
        <v/>
      </c>
      <c r="P18" s="1" t="str">
        <f>IF(ISBLANK(PriceData!P16),"",PriceData!P16)</f>
        <v/>
      </c>
      <c r="Q18" s="1" t="str">
        <f>IF(ISBLANK(PriceData!Q16),"",PriceData!Q16)</f>
        <v/>
      </c>
      <c r="R18" s="1" t="str">
        <f>IF(ISBLANK(PriceData!R16),"",PriceData!R16)</f>
        <v/>
      </c>
      <c r="S18" s="1" t="str">
        <f>IF(ISBLANK(PriceData!S16),"",PriceData!S16)</f>
        <v/>
      </c>
      <c r="T18" s="1" t="str">
        <f>IF(ISBLANK(PriceData!T16),"",PriceData!T16)</f>
        <v/>
      </c>
      <c r="U18" s="1" t="str">
        <f>IF(ISBLANK(PriceData!U16),"",PriceData!U16)</f>
        <v/>
      </c>
      <c r="V18" s="1" t="str">
        <f>IF(ISBLANK(PriceData!V16),"",PriceData!V16)</f>
        <v/>
      </c>
      <c r="W18" s="1" t="str">
        <f>IF(ISBLANK(PriceData!W16),"",PriceData!W16)</f>
        <v/>
      </c>
      <c r="X18" s="1" t="str">
        <f>IF(ISBLANK(PriceData!X16),"",PriceData!X16)</f>
        <v/>
      </c>
      <c r="Y18" s="1" t="str">
        <f>IF(ISBLANK(PriceData!Y16),"",PriceData!Y16)</f>
        <v/>
      </c>
      <c r="Z18" s="1" t="str">
        <f>IF(ISBLANK(PriceData!Z16),"",PriceData!Z16)</f>
        <v/>
      </c>
      <c r="AA18" s="1" t="str">
        <f>IF(ISBLANK(PriceData!AA16),"",PriceData!AA16)</f>
        <v/>
      </c>
      <c r="AB18" s="1" t="str">
        <f>IF(ISBLANK(PriceData!AB16),"",PriceData!AB16)</f>
        <v/>
      </c>
      <c r="AC18" s="1" t="str">
        <f>IF(ISBLANK(PriceData!AC16),"",PriceData!AC16)</f>
        <v/>
      </c>
      <c r="AD18" s="1" t="str">
        <f>IF(ISBLANK(PriceData!AD16),"",PriceData!AD16)</f>
        <v/>
      </c>
      <c r="AE18" s="1" t="str">
        <f>IF(ISBLANK(PriceData!AE16),"",PriceData!AE16)</f>
        <v/>
      </c>
      <c r="AF18" s="1" t="str">
        <f>IF(ISBLANK(PriceData!AF16),"",PriceData!AF16)</f>
        <v/>
      </c>
      <c r="AG18" s="1" t="str">
        <f>IF(ISBLANK(PriceData!AG16),"",PriceData!AG16)</f>
        <v/>
      </c>
      <c r="AH18" s="1" t="str">
        <f>IF(ISBLANK(PriceData!AH16),"",PriceData!AH16)</f>
        <v/>
      </c>
      <c r="AI18" s="1" t="str">
        <f>IF(ISBLANK(PriceData!AI16),"",PriceData!AI16)</f>
        <v/>
      </c>
      <c r="AJ18" s="1" t="str">
        <f>IF(ISBLANK(PriceData!AJ16),"",PriceData!AJ16)</f>
        <v/>
      </c>
      <c r="AK18" s="1" t="str">
        <f>IF(ISBLANK(PriceData!AK16),"",PriceData!AK16)</f>
        <v/>
      </c>
      <c r="AL18" s="1" t="str">
        <f>IF(ISBLANK(PriceData!AL16),"",PriceData!AL16)</f>
        <v/>
      </c>
      <c r="AM18" s="1" t="str">
        <f>IF(ISBLANK(PriceData!AM16),"",PriceData!AM16)</f>
        <v/>
      </c>
      <c r="AN18" s="1" t="str">
        <f>IF(ISBLANK(PriceData!AN16),"",PriceData!AN16)</f>
        <v/>
      </c>
      <c r="AO18" s="1" t="str">
        <f>IF(ISBLANK(PriceData!AO16),"",PriceData!AO16)</f>
        <v/>
      </c>
      <c r="AP18" s="1" t="str">
        <f>IF(ISBLANK(PriceData!AP16),"",PriceData!AP16)</f>
        <v/>
      </c>
      <c r="AQ18" s="1" t="str">
        <f>IF(ISBLANK(PriceData!AQ16),"",PriceData!AQ16)</f>
        <v/>
      </c>
      <c r="AR18" s="1" t="str">
        <f>IF(ISBLANK(PriceData!AR16),"",PriceData!AR16)</f>
        <v/>
      </c>
      <c r="AS18" s="1" t="str">
        <f>IF(ISBLANK(PriceData!AS16),"",PriceData!AS16)</f>
        <v/>
      </c>
      <c r="AT18" s="1" t="str">
        <f>IF(ISBLANK(PriceData!AT16),"",PriceData!AT16)</f>
        <v/>
      </c>
      <c r="AU18" s="1" t="str">
        <f>IF(ISBLANK(PriceData!AU16),"",PriceData!AU16)</f>
        <v/>
      </c>
      <c r="AV18" s="1" t="str">
        <f>IF(ISBLANK(PriceData!AV16),"",PriceData!AV16)</f>
        <v/>
      </c>
      <c r="AW18" s="1" t="str">
        <f>IF(ISBLANK(PriceData!AW16),"",PriceData!AW16)</f>
        <v/>
      </c>
      <c r="AX18" s="1" t="str">
        <f>IF(ISBLANK(PriceData!AX16),"",PriceData!AX16)</f>
        <v/>
      </c>
      <c r="AY18" s="1" t="str">
        <f>IF(ISBLANK(PriceData!AY16),"",PriceData!AY16)</f>
        <v/>
      </c>
      <c r="AZ18" s="1" t="str">
        <f>IF(ISBLANK(PriceData!AZ16),"",PriceData!AZ16)</f>
        <v/>
      </c>
      <c r="BA18" s="1" t="str">
        <f>IF(ISBLANK(PriceData!BA16),"",PriceData!BA16)</f>
        <v/>
      </c>
      <c r="BB18" s="1" t="str">
        <f>IF(ISBLANK(PriceData!BB16),"",PriceData!BB16)</f>
        <v/>
      </c>
      <c r="BC18" s="1" t="str">
        <f>IF(ISBLANK(PriceData!BC16),"",PriceData!BC16)</f>
        <v/>
      </c>
      <c r="BD18" s="1" t="str">
        <f>IF(ISBLANK(PriceData!BD16),"",PriceData!BD16)</f>
        <v/>
      </c>
      <c r="BE18" s="1" t="str">
        <f>IF(ISBLANK(PriceData!BE16),"",PriceData!BE16)</f>
        <v/>
      </c>
      <c r="BF18" s="1" t="str">
        <f>IF(ISBLANK(PriceData!BF16),"",PriceData!BF16)</f>
        <v/>
      </c>
      <c r="BG18" s="1" t="str">
        <f>IF(ISBLANK(PriceData!BG16),"",PriceData!BG16)</f>
        <v/>
      </c>
      <c r="BH18" s="1" t="str">
        <f>IF(ISBLANK(PriceData!BH16),"",PriceData!BH16)</f>
        <v/>
      </c>
      <c r="BI18" s="1" t="str">
        <f>IF(ISBLANK(PriceData!BI16),"",PriceData!BI16)</f>
        <v/>
      </c>
      <c r="BJ18" s="1" t="str">
        <f>IF(ISBLANK(PriceData!BJ16),"",PriceData!BJ16)</f>
        <v/>
      </c>
      <c r="BK18" s="1" t="str">
        <f>IF(ISBLANK(PriceData!BK16),"",PriceData!BK16)</f>
        <v/>
      </c>
      <c r="BL18" s="1" t="str">
        <f>IF(ISBLANK(PriceData!BL16),"",PriceData!BL16)</f>
        <v/>
      </c>
      <c r="BM18" s="1" t="str">
        <f>IF(ISBLANK(PriceData!BM16),"",PriceData!BM16)</f>
        <v/>
      </c>
      <c r="BN18" s="1" t="str">
        <f>IF(ISBLANK(PriceData!BN16),"",PriceData!BN16)</f>
        <v/>
      </c>
      <c r="BO18" s="1" t="str">
        <f>IF(ISBLANK(PriceData!BO16),"",PriceData!BO16)</f>
        <v/>
      </c>
      <c r="BP18" s="1" t="str">
        <f>IF(ISBLANK(PriceData!BP16),"",PriceData!BP16)</f>
        <v/>
      </c>
      <c r="BQ18" s="1" t="str">
        <f>IF(ISBLANK(PriceData!BQ16),"",PriceData!BQ16)</f>
        <v/>
      </c>
      <c r="BR18" s="1" t="str">
        <f>IF(ISBLANK(PriceData!BR16),"",PriceData!BR16)</f>
        <v/>
      </c>
      <c r="BS18" s="1" t="str">
        <f>IF(ISBLANK(PriceData!BS16),"",PriceData!BS16)</f>
        <v/>
      </c>
      <c r="BT18" s="1" t="str">
        <f>IF(ISBLANK(PriceData!BT16),"",PriceData!BT16)</f>
        <v/>
      </c>
      <c r="BU18" s="1" t="str">
        <f>IF(ISBLANK(PriceData!BU16),"",PriceData!BU16)</f>
        <v/>
      </c>
      <c r="BV18" s="1" t="str">
        <f>IF(ISBLANK(PriceData!BV16),"",PriceData!BV16)</f>
        <v/>
      </c>
      <c r="BW18" s="1" t="str">
        <f>IF(ISBLANK(PriceData!BW16),"",PriceData!BW16)</f>
        <v/>
      </c>
      <c r="BX18" s="1" t="str">
        <f>IF(ISBLANK(PriceData!BX16),"",PriceData!BX16)</f>
        <v/>
      </c>
      <c r="BY18" s="1" t="str">
        <f>IF(ISBLANK(PriceData!BY16),"",PriceData!BY16)</f>
        <v/>
      </c>
      <c r="BZ18" s="1" t="str">
        <f>IF(ISBLANK(PriceData!BZ16),"",PriceData!BZ16)</f>
        <v/>
      </c>
      <c r="CA18" s="1" t="str">
        <f>IF(ISBLANK(PriceData!CA16),"",PriceData!CA16)</f>
        <v/>
      </c>
      <c r="CB18" s="1" t="str">
        <f>IF(ISBLANK(PriceData!CB16),"",PriceData!CB16)</f>
        <v/>
      </c>
      <c r="CC18" s="1" t="str">
        <f>IF(ISBLANK(PriceData!CC16),"",PriceData!CC16)</f>
        <v/>
      </c>
      <c r="CD18" s="1" t="str">
        <f>IF(ISBLANK(PriceData!CD16),"",PriceData!CD16)</f>
        <v/>
      </c>
      <c r="CE18" s="1" t="str">
        <f>IF(ISBLANK(PriceData!CE16),"",PriceData!CE16)</f>
        <v/>
      </c>
      <c r="CF18" s="1" t="str">
        <f>IF(ISBLANK(PriceData!CF16),"",PriceData!CF16)</f>
        <v/>
      </c>
      <c r="CG18" s="1" t="str">
        <f>IF(ISBLANK(PriceData!CG16),"",PriceData!CG16)</f>
        <v/>
      </c>
      <c r="CH18" s="1" t="str">
        <f>IF(ISBLANK(PriceData!CH16),"",PriceData!CH16)</f>
        <v/>
      </c>
      <c r="CI18" s="1" t="str">
        <f>IF(ISBLANK(PriceData!CI16),"",PriceData!CI16)</f>
        <v/>
      </c>
      <c r="CJ18" s="1" t="str">
        <f>IF(ISBLANK(PriceData!CJ16),"",PriceData!CJ16)</f>
        <v/>
      </c>
      <c r="CK18" s="1" t="str">
        <f>IF(ISBLANK(PriceData!CK16),"",PriceData!CK16)</f>
        <v/>
      </c>
      <c r="CL18" s="1" t="str">
        <f>IF(ISBLANK(PriceData!CL16),"",PriceData!CL16)</f>
        <v/>
      </c>
      <c r="CM18" s="1" t="str">
        <f>IF(ISBLANK(PriceData!CM16),"",PriceData!CM16)</f>
        <v/>
      </c>
      <c r="CN18" s="1" t="str">
        <f>IF(ISBLANK(PriceData!CN16),"",PriceData!CN16)</f>
        <v/>
      </c>
    </row>
    <row r="19" spans="2:92" x14ac:dyDescent="0.25">
      <c r="B19" s="1" t="str">
        <f>IF(ISBLANK(PriceData!A17),"",PriceData!A17)</f>
        <v/>
      </c>
      <c r="C19" s="1" t="str">
        <f>IF(ISBLANK(PriceData!C17),"",PriceData!C17)</f>
        <v/>
      </c>
      <c r="D19" s="1" t="str">
        <f>IF(ISBLANK(PriceData!D17),"",PriceData!D17)</f>
        <v/>
      </c>
      <c r="E19" s="1" t="str">
        <f>IF(ISBLANK(PriceData!E17),"",PriceData!E17)</f>
        <v/>
      </c>
      <c r="F19" s="1" t="str">
        <f>IF(ISBLANK(PriceData!F17),"",PriceData!F17)</f>
        <v/>
      </c>
      <c r="G19" s="1" t="str">
        <f>IF(ISBLANK(PriceData!G17),"",PriceData!G17)</f>
        <v/>
      </c>
      <c r="H19" s="1" t="str">
        <f>IF(ISBLANK(PriceData!H17),"",PriceData!H17)</f>
        <v/>
      </c>
      <c r="I19" s="1" t="str">
        <f>IF(ISBLANK(PriceData!I17),"",PriceData!I17)</f>
        <v/>
      </c>
      <c r="J19" s="1" t="str">
        <f>IF(ISBLANK(PriceData!J17),"",PriceData!J17)</f>
        <v/>
      </c>
      <c r="K19" s="1" t="str">
        <f>IF(ISBLANK(PriceData!K17),"",PriceData!K17)</f>
        <v/>
      </c>
      <c r="L19" s="1" t="str">
        <f>IF(ISBLANK(PriceData!L17),"",PriceData!L17)</f>
        <v/>
      </c>
      <c r="M19" s="1" t="str">
        <f>IF(ISBLANK(PriceData!M17),"",PriceData!M17)</f>
        <v/>
      </c>
      <c r="N19" s="1" t="str">
        <f>IF(ISBLANK(PriceData!N17),"",PriceData!N17)</f>
        <v/>
      </c>
      <c r="O19" s="1" t="str">
        <f>IF(ISBLANK(PriceData!O17),"",PriceData!O17)</f>
        <v/>
      </c>
      <c r="P19" s="1" t="str">
        <f>IF(ISBLANK(PriceData!P17),"",PriceData!P17)</f>
        <v/>
      </c>
      <c r="Q19" s="1" t="str">
        <f>IF(ISBLANK(PriceData!Q17),"",PriceData!Q17)</f>
        <v/>
      </c>
      <c r="R19" s="1" t="str">
        <f>IF(ISBLANK(PriceData!R17),"",PriceData!R17)</f>
        <v/>
      </c>
      <c r="S19" s="1" t="str">
        <f>IF(ISBLANK(PriceData!S17),"",PriceData!S17)</f>
        <v/>
      </c>
      <c r="T19" s="1" t="str">
        <f>IF(ISBLANK(PriceData!T17),"",PriceData!T17)</f>
        <v/>
      </c>
      <c r="U19" s="1" t="str">
        <f>IF(ISBLANK(PriceData!U17),"",PriceData!U17)</f>
        <v/>
      </c>
      <c r="V19" s="1" t="str">
        <f>IF(ISBLANK(PriceData!V17),"",PriceData!V17)</f>
        <v/>
      </c>
      <c r="W19" s="1" t="str">
        <f>IF(ISBLANK(PriceData!W17),"",PriceData!W17)</f>
        <v/>
      </c>
      <c r="X19" s="1" t="str">
        <f>IF(ISBLANK(PriceData!X17),"",PriceData!X17)</f>
        <v/>
      </c>
      <c r="Y19" s="1" t="str">
        <f>IF(ISBLANK(PriceData!Y17),"",PriceData!Y17)</f>
        <v/>
      </c>
      <c r="Z19" s="1" t="str">
        <f>IF(ISBLANK(PriceData!Z17),"",PriceData!Z17)</f>
        <v/>
      </c>
      <c r="AA19" s="1" t="str">
        <f>IF(ISBLANK(PriceData!AA17),"",PriceData!AA17)</f>
        <v/>
      </c>
      <c r="AB19" s="1" t="str">
        <f>IF(ISBLANK(PriceData!AB17),"",PriceData!AB17)</f>
        <v/>
      </c>
      <c r="AC19" s="1" t="str">
        <f>IF(ISBLANK(PriceData!AC17),"",PriceData!AC17)</f>
        <v/>
      </c>
      <c r="AD19" s="1" t="str">
        <f>IF(ISBLANK(PriceData!AD17),"",PriceData!AD17)</f>
        <v/>
      </c>
      <c r="AE19" s="1" t="str">
        <f>IF(ISBLANK(PriceData!AE17),"",PriceData!AE17)</f>
        <v/>
      </c>
      <c r="AF19" s="1" t="str">
        <f>IF(ISBLANK(PriceData!AF17),"",PriceData!AF17)</f>
        <v/>
      </c>
      <c r="AG19" s="1" t="str">
        <f>IF(ISBLANK(PriceData!AG17),"",PriceData!AG17)</f>
        <v/>
      </c>
      <c r="AH19" s="1" t="str">
        <f>IF(ISBLANK(PriceData!AH17),"",PriceData!AH17)</f>
        <v/>
      </c>
      <c r="AI19" s="1" t="str">
        <f>IF(ISBLANK(PriceData!AI17),"",PriceData!AI17)</f>
        <v/>
      </c>
      <c r="AJ19" s="1" t="str">
        <f>IF(ISBLANK(PriceData!AJ17),"",PriceData!AJ17)</f>
        <v/>
      </c>
      <c r="AK19" s="1" t="str">
        <f>IF(ISBLANK(PriceData!AK17),"",PriceData!AK17)</f>
        <v/>
      </c>
      <c r="AL19" s="1" t="str">
        <f>IF(ISBLANK(PriceData!AL17),"",PriceData!AL17)</f>
        <v/>
      </c>
      <c r="AM19" s="1" t="str">
        <f>IF(ISBLANK(PriceData!AM17),"",PriceData!AM17)</f>
        <v/>
      </c>
      <c r="AN19" s="1" t="str">
        <f>IF(ISBLANK(PriceData!AN17),"",PriceData!AN17)</f>
        <v/>
      </c>
      <c r="AO19" s="1" t="str">
        <f>IF(ISBLANK(PriceData!AO17),"",PriceData!AO17)</f>
        <v/>
      </c>
      <c r="AP19" s="1" t="str">
        <f>IF(ISBLANK(PriceData!AP17),"",PriceData!AP17)</f>
        <v/>
      </c>
      <c r="AQ19" s="1" t="str">
        <f>IF(ISBLANK(PriceData!AQ17),"",PriceData!AQ17)</f>
        <v/>
      </c>
      <c r="AR19" s="1" t="str">
        <f>IF(ISBLANK(PriceData!AR17),"",PriceData!AR17)</f>
        <v/>
      </c>
      <c r="AS19" s="1" t="str">
        <f>IF(ISBLANK(PriceData!AS17),"",PriceData!AS17)</f>
        <v/>
      </c>
      <c r="AT19" s="1" t="str">
        <f>IF(ISBLANK(PriceData!AT17),"",PriceData!AT17)</f>
        <v/>
      </c>
      <c r="AU19" s="1" t="str">
        <f>IF(ISBLANK(PriceData!AU17),"",PriceData!AU17)</f>
        <v/>
      </c>
      <c r="AV19" s="1" t="str">
        <f>IF(ISBLANK(PriceData!AV17),"",PriceData!AV17)</f>
        <v/>
      </c>
      <c r="AW19" s="1" t="str">
        <f>IF(ISBLANK(PriceData!AW17),"",PriceData!AW17)</f>
        <v/>
      </c>
      <c r="AX19" s="1" t="str">
        <f>IF(ISBLANK(PriceData!AX17),"",PriceData!AX17)</f>
        <v/>
      </c>
      <c r="AY19" s="1" t="str">
        <f>IF(ISBLANK(PriceData!AY17),"",PriceData!AY17)</f>
        <v/>
      </c>
      <c r="AZ19" s="1" t="str">
        <f>IF(ISBLANK(PriceData!AZ17),"",PriceData!AZ17)</f>
        <v/>
      </c>
      <c r="BA19" s="1" t="str">
        <f>IF(ISBLANK(PriceData!BA17),"",PriceData!BA17)</f>
        <v/>
      </c>
      <c r="BB19" s="1" t="str">
        <f>IF(ISBLANK(PriceData!BB17),"",PriceData!BB17)</f>
        <v/>
      </c>
      <c r="BC19" s="1" t="str">
        <f>IF(ISBLANK(PriceData!BC17),"",PriceData!BC17)</f>
        <v/>
      </c>
      <c r="BD19" s="1" t="str">
        <f>IF(ISBLANK(PriceData!BD17),"",PriceData!BD17)</f>
        <v/>
      </c>
      <c r="BE19" s="1" t="str">
        <f>IF(ISBLANK(PriceData!BE17),"",PriceData!BE17)</f>
        <v/>
      </c>
      <c r="BF19" s="1" t="str">
        <f>IF(ISBLANK(PriceData!BF17),"",PriceData!BF17)</f>
        <v/>
      </c>
      <c r="BG19" s="1" t="str">
        <f>IF(ISBLANK(PriceData!BG17),"",PriceData!BG17)</f>
        <v/>
      </c>
      <c r="BH19" s="1" t="str">
        <f>IF(ISBLANK(PriceData!BH17),"",PriceData!BH17)</f>
        <v/>
      </c>
      <c r="BI19" s="1" t="str">
        <f>IF(ISBLANK(PriceData!BI17),"",PriceData!BI17)</f>
        <v/>
      </c>
      <c r="BJ19" s="1" t="str">
        <f>IF(ISBLANK(PriceData!BJ17),"",PriceData!BJ17)</f>
        <v/>
      </c>
      <c r="BK19" s="1" t="str">
        <f>IF(ISBLANK(PriceData!BK17),"",PriceData!BK17)</f>
        <v/>
      </c>
      <c r="BL19" s="1" t="str">
        <f>IF(ISBLANK(PriceData!BL17),"",PriceData!BL17)</f>
        <v/>
      </c>
      <c r="BM19" s="1" t="str">
        <f>IF(ISBLANK(PriceData!BM17),"",PriceData!BM17)</f>
        <v/>
      </c>
      <c r="BN19" s="1" t="str">
        <f>IF(ISBLANK(PriceData!BN17),"",PriceData!BN17)</f>
        <v/>
      </c>
      <c r="BO19" s="1" t="str">
        <f>IF(ISBLANK(PriceData!BO17),"",PriceData!BO17)</f>
        <v/>
      </c>
      <c r="BP19" s="1" t="str">
        <f>IF(ISBLANK(PriceData!BP17),"",PriceData!BP17)</f>
        <v/>
      </c>
      <c r="BQ19" s="1" t="str">
        <f>IF(ISBLANK(PriceData!BQ17),"",PriceData!BQ17)</f>
        <v/>
      </c>
      <c r="BR19" s="1" t="str">
        <f>IF(ISBLANK(PriceData!BR17),"",PriceData!BR17)</f>
        <v/>
      </c>
      <c r="BS19" s="1" t="str">
        <f>IF(ISBLANK(PriceData!BS17),"",PriceData!BS17)</f>
        <v/>
      </c>
      <c r="BT19" s="1" t="str">
        <f>IF(ISBLANK(PriceData!BT17),"",PriceData!BT17)</f>
        <v/>
      </c>
      <c r="BU19" s="1" t="str">
        <f>IF(ISBLANK(PriceData!BU17),"",PriceData!BU17)</f>
        <v/>
      </c>
      <c r="BV19" s="1" t="str">
        <f>IF(ISBLANK(PriceData!BV17),"",PriceData!BV17)</f>
        <v/>
      </c>
      <c r="BW19" s="1" t="str">
        <f>IF(ISBLANK(PriceData!BW17),"",PriceData!BW17)</f>
        <v/>
      </c>
      <c r="BX19" s="1" t="str">
        <f>IF(ISBLANK(PriceData!BX17),"",PriceData!BX17)</f>
        <v/>
      </c>
      <c r="BY19" s="1" t="str">
        <f>IF(ISBLANK(PriceData!BY17),"",PriceData!BY17)</f>
        <v/>
      </c>
      <c r="BZ19" s="1" t="str">
        <f>IF(ISBLANK(PriceData!BZ17),"",PriceData!BZ17)</f>
        <v/>
      </c>
      <c r="CA19" s="1" t="str">
        <f>IF(ISBLANK(PriceData!CA17),"",PriceData!CA17)</f>
        <v/>
      </c>
      <c r="CB19" s="1" t="str">
        <f>IF(ISBLANK(PriceData!CB17),"",PriceData!CB17)</f>
        <v/>
      </c>
      <c r="CC19" s="1" t="str">
        <f>IF(ISBLANK(PriceData!CC17),"",PriceData!CC17)</f>
        <v/>
      </c>
      <c r="CD19" s="1" t="str">
        <f>IF(ISBLANK(PriceData!CD17),"",PriceData!CD17)</f>
        <v/>
      </c>
      <c r="CE19" s="1" t="str">
        <f>IF(ISBLANK(PriceData!CE17),"",PriceData!CE17)</f>
        <v/>
      </c>
      <c r="CF19" s="1" t="str">
        <f>IF(ISBLANK(PriceData!CF17),"",PriceData!CF17)</f>
        <v/>
      </c>
      <c r="CG19" s="1" t="str">
        <f>IF(ISBLANK(PriceData!CG17),"",PriceData!CG17)</f>
        <v/>
      </c>
      <c r="CH19" s="1" t="str">
        <f>IF(ISBLANK(PriceData!CH17),"",PriceData!CH17)</f>
        <v/>
      </c>
      <c r="CI19" s="1" t="str">
        <f>IF(ISBLANK(PriceData!CI17),"",PriceData!CI17)</f>
        <v/>
      </c>
      <c r="CJ19" s="1" t="str">
        <f>IF(ISBLANK(PriceData!CJ17),"",PriceData!CJ17)</f>
        <v/>
      </c>
      <c r="CK19" s="1" t="str">
        <f>IF(ISBLANK(PriceData!CK17),"",PriceData!CK17)</f>
        <v/>
      </c>
      <c r="CL19" s="1" t="str">
        <f>IF(ISBLANK(PriceData!CL17),"",PriceData!CL17)</f>
        <v/>
      </c>
      <c r="CM19" s="1" t="str">
        <f>IF(ISBLANK(PriceData!CM17),"",PriceData!CM17)</f>
        <v/>
      </c>
      <c r="CN19" s="1" t="str">
        <f>IF(ISBLANK(PriceData!CN17),"",PriceData!CN17)</f>
        <v/>
      </c>
    </row>
    <row r="20" spans="2:92" x14ac:dyDescent="0.25">
      <c r="B20" s="1" t="str">
        <f>IF(ISBLANK(PriceData!A18),"",PriceData!A18)</f>
        <v/>
      </c>
      <c r="C20" s="1" t="str">
        <f>IF(ISBLANK(PriceData!C18),"",PriceData!C18)</f>
        <v/>
      </c>
      <c r="D20" s="1" t="str">
        <f>IF(ISBLANK(PriceData!D18),"",PriceData!D18)</f>
        <v/>
      </c>
      <c r="E20" s="1" t="str">
        <f>IF(ISBLANK(PriceData!E18),"",PriceData!E18)</f>
        <v/>
      </c>
      <c r="F20" s="1" t="str">
        <f>IF(ISBLANK(PriceData!F18),"",PriceData!F18)</f>
        <v/>
      </c>
      <c r="G20" s="1" t="str">
        <f>IF(ISBLANK(PriceData!G18),"",PriceData!G18)</f>
        <v/>
      </c>
      <c r="H20" s="1" t="str">
        <f>IF(ISBLANK(PriceData!H18),"",PriceData!H18)</f>
        <v/>
      </c>
      <c r="I20" s="1" t="str">
        <f>IF(ISBLANK(PriceData!I18),"",PriceData!I18)</f>
        <v/>
      </c>
      <c r="J20" s="1" t="str">
        <f>IF(ISBLANK(PriceData!J18),"",PriceData!J18)</f>
        <v/>
      </c>
      <c r="K20" s="1" t="str">
        <f>IF(ISBLANK(PriceData!K18),"",PriceData!K18)</f>
        <v/>
      </c>
      <c r="L20" s="1" t="str">
        <f>IF(ISBLANK(PriceData!L18),"",PriceData!L18)</f>
        <v/>
      </c>
      <c r="M20" s="1" t="str">
        <f>IF(ISBLANK(PriceData!M18),"",PriceData!M18)</f>
        <v/>
      </c>
      <c r="N20" s="1" t="str">
        <f>IF(ISBLANK(PriceData!N18),"",PriceData!N18)</f>
        <v/>
      </c>
      <c r="O20" s="1" t="str">
        <f>IF(ISBLANK(PriceData!O18),"",PriceData!O18)</f>
        <v/>
      </c>
      <c r="P20" s="1" t="str">
        <f>IF(ISBLANK(PriceData!P18),"",PriceData!P18)</f>
        <v/>
      </c>
      <c r="Q20" s="1" t="str">
        <f>IF(ISBLANK(PriceData!Q18),"",PriceData!Q18)</f>
        <v/>
      </c>
      <c r="R20" s="1" t="str">
        <f>IF(ISBLANK(PriceData!R18),"",PriceData!R18)</f>
        <v/>
      </c>
      <c r="S20" s="1" t="str">
        <f>IF(ISBLANK(PriceData!S18),"",PriceData!S18)</f>
        <v/>
      </c>
      <c r="T20" s="1" t="str">
        <f>IF(ISBLANK(PriceData!T18),"",PriceData!T18)</f>
        <v/>
      </c>
      <c r="U20" s="1" t="str">
        <f>IF(ISBLANK(PriceData!U18),"",PriceData!U18)</f>
        <v/>
      </c>
      <c r="V20" s="1" t="str">
        <f>IF(ISBLANK(PriceData!V18),"",PriceData!V18)</f>
        <v/>
      </c>
      <c r="W20" s="1" t="str">
        <f>IF(ISBLANK(PriceData!W18),"",PriceData!W18)</f>
        <v/>
      </c>
      <c r="X20" s="1" t="str">
        <f>IF(ISBLANK(PriceData!X18),"",PriceData!X18)</f>
        <v/>
      </c>
      <c r="Y20" s="1" t="str">
        <f>IF(ISBLANK(PriceData!Y18),"",PriceData!Y18)</f>
        <v/>
      </c>
      <c r="Z20" s="1" t="str">
        <f>IF(ISBLANK(PriceData!Z18),"",PriceData!Z18)</f>
        <v/>
      </c>
      <c r="AA20" s="1" t="str">
        <f>IF(ISBLANK(PriceData!AA18),"",PriceData!AA18)</f>
        <v/>
      </c>
      <c r="AB20" s="1" t="str">
        <f>IF(ISBLANK(PriceData!AB18),"",PriceData!AB18)</f>
        <v/>
      </c>
      <c r="AC20" s="1" t="str">
        <f>IF(ISBLANK(PriceData!AC18),"",PriceData!AC18)</f>
        <v/>
      </c>
      <c r="AD20" s="1" t="str">
        <f>IF(ISBLANK(PriceData!AD18),"",PriceData!AD18)</f>
        <v/>
      </c>
      <c r="AE20" s="1" t="str">
        <f>IF(ISBLANK(PriceData!AE18),"",PriceData!AE18)</f>
        <v/>
      </c>
      <c r="AF20" s="1" t="str">
        <f>IF(ISBLANK(PriceData!AF18),"",PriceData!AF18)</f>
        <v/>
      </c>
      <c r="AG20" s="1" t="str">
        <f>IF(ISBLANK(PriceData!AG18),"",PriceData!AG18)</f>
        <v/>
      </c>
      <c r="AH20" s="1" t="str">
        <f>IF(ISBLANK(PriceData!AH18),"",PriceData!AH18)</f>
        <v/>
      </c>
      <c r="AI20" s="1" t="str">
        <f>IF(ISBLANK(PriceData!AI18),"",PriceData!AI18)</f>
        <v/>
      </c>
      <c r="AJ20" s="1" t="str">
        <f>IF(ISBLANK(PriceData!AJ18),"",PriceData!AJ18)</f>
        <v/>
      </c>
      <c r="AK20" s="1" t="str">
        <f>IF(ISBLANK(PriceData!AK18),"",PriceData!AK18)</f>
        <v/>
      </c>
      <c r="AL20" s="1" t="str">
        <f>IF(ISBLANK(PriceData!AL18),"",PriceData!AL18)</f>
        <v/>
      </c>
      <c r="AM20" s="1" t="str">
        <f>IF(ISBLANK(PriceData!AM18),"",PriceData!AM18)</f>
        <v/>
      </c>
      <c r="AN20" s="1" t="str">
        <f>IF(ISBLANK(PriceData!AN18),"",PriceData!AN18)</f>
        <v/>
      </c>
      <c r="AO20" s="1" t="str">
        <f>IF(ISBLANK(PriceData!AO18),"",PriceData!AO18)</f>
        <v/>
      </c>
      <c r="AP20" s="1" t="str">
        <f>IF(ISBLANK(PriceData!AP18),"",PriceData!AP18)</f>
        <v/>
      </c>
      <c r="AQ20" s="1" t="str">
        <f>IF(ISBLANK(PriceData!AQ18),"",PriceData!AQ18)</f>
        <v/>
      </c>
      <c r="AR20" s="1" t="str">
        <f>IF(ISBLANK(PriceData!AR18),"",PriceData!AR18)</f>
        <v/>
      </c>
      <c r="AS20" s="1" t="str">
        <f>IF(ISBLANK(PriceData!AS18),"",PriceData!AS18)</f>
        <v/>
      </c>
      <c r="AT20" s="1" t="str">
        <f>IF(ISBLANK(PriceData!AT18),"",PriceData!AT18)</f>
        <v/>
      </c>
      <c r="AU20" s="1" t="str">
        <f>IF(ISBLANK(PriceData!AU18),"",PriceData!AU18)</f>
        <v/>
      </c>
      <c r="AV20" s="1" t="str">
        <f>IF(ISBLANK(PriceData!AV18),"",PriceData!AV18)</f>
        <v/>
      </c>
      <c r="AW20" s="1" t="str">
        <f>IF(ISBLANK(PriceData!AW18),"",PriceData!AW18)</f>
        <v/>
      </c>
      <c r="AX20" s="1" t="str">
        <f>IF(ISBLANK(PriceData!AX18),"",PriceData!AX18)</f>
        <v/>
      </c>
      <c r="AY20" s="1" t="str">
        <f>IF(ISBLANK(PriceData!AY18),"",PriceData!AY18)</f>
        <v/>
      </c>
      <c r="AZ20" s="1" t="str">
        <f>IF(ISBLANK(PriceData!AZ18),"",PriceData!AZ18)</f>
        <v/>
      </c>
      <c r="BA20" s="1" t="str">
        <f>IF(ISBLANK(PriceData!BA18),"",PriceData!BA18)</f>
        <v/>
      </c>
      <c r="BB20" s="1" t="str">
        <f>IF(ISBLANK(PriceData!BB18),"",PriceData!BB18)</f>
        <v/>
      </c>
      <c r="BC20" s="1" t="str">
        <f>IF(ISBLANK(PriceData!BC18),"",PriceData!BC18)</f>
        <v/>
      </c>
      <c r="BD20" s="1" t="str">
        <f>IF(ISBLANK(PriceData!BD18),"",PriceData!BD18)</f>
        <v/>
      </c>
      <c r="BE20" s="1" t="str">
        <f>IF(ISBLANK(PriceData!BE18),"",PriceData!BE18)</f>
        <v/>
      </c>
      <c r="BF20" s="1" t="str">
        <f>IF(ISBLANK(PriceData!BF18),"",PriceData!BF18)</f>
        <v/>
      </c>
      <c r="BG20" s="1" t="str">
        <f>IF(ISBLANK(PriceData!BG18),"",PriceData!BG18)</f>
        <v/>
      </c>
      <c r="BH20" s="1" t="str">
        <f>IF(ISBLANK(PriceData!BH18),"",PriceData!BH18)</f>
        <v/>
      </c>
      <c r="BI20" s="1" t="str">
        <f>IF(ISBLANK(PriceData!BI18),"",PriceData!BI18)</f>
        <v/>
      </c>
      <c r="BJ20" s="1" t="str">
        <f>IF(ISBLANK(PriceData!BJ18),"",PriceData!BJ18)</f>
        <v/>
      </c>
      <c r="BK20" s="1" t="str">
        <f>IF(ISBLANK(PriceData!BK18),"",PriceData!BK18)</f>
        <v/>
      </c>
      <c r="BL20" s="1" t="str">
        <f>IF(ISBLANK(PriceData!BL18),"",PriceData!BL18)</f>
        <v/>
      </c>
      <c r="BM20" s="1" t="str">
        <f>IF(ISBLANK(PriceData!BM18),"",PriceData!BM18)</f>
        <v/>
      </c>
      <c r="BN20" s="1" t="str">
        <f>IF(ISBLANK(PriceData!BN18),"",PriceData!BN18)</f>
        <v/>
      </c>
      <c r="BO20" s="1" t="str">
        <f>IF(ISBLANK(PriceData!BO18),"",PriceData!BO18)</f>
        <v/>
      </c>
      <c r="BP20" s="1" t="str">
        <f>IF(ISBLANK(PriceData!BP18),"",PriceData!BP18)</f>
        <v/>
      </c>
      <c r="BQ20" s="1" t="str">
        <f>IF(ISBLANK(PriceData!BQ18),"",PriceData!BQ18)</f>
        <v/>
      </c>
      <c r="BR20" s="1" t="str">
        <f>IF(ISBLANK(PriceData!BR18),"",PriceData!BR18)</f>
        <v/>
      </c>
      <c r="BS20" s="1" t="str">
        <f>IF(ISBLANK(PriceData!BS18),"",PriceData!BS18)</f>
        <v/>
      </c>
      <c r="BT20" s="1" t="str">
        <f>IF(ISBLANK(PriceData!BT18),"",PriceData!BT18)</f>
        <v/>
      </c>
      <c r="BU20" s="1" t="str">
        <f>IF(ISBLANK(PriceData!BU18),"",PriceData!BU18)</f>
        <v/>
      </c>
      <c r="BV20" s="1" t="str">
        <f>IF(ISBLANK(PriceData!BV18),"",PriceData!BV18)</f>
        <v/>
      </c>
      <c r="BW20" s="1" t="str">
        <f>IF(ISBLANK(PriceData!BW18),"",PriceData!BW18)</f>
        <v/>
      </c>
      <c r="BX20" s="1" t="str">
        <f>IF(ISBLANK(PriceData!BX18),"",PriceData!BX18)</f>
        <v/>
      </c>
      <c r="BY20" s="1" t="str">
        <f>IF(ISBLANK(PriceData!BY18),"",PriceData!BY18)</f>
        <v/>
      </c>
      <c r="BZ20" s="1" t="str">
        <f>IF(ISBLANK(PriceData!BZ18),"",PriceData!BZ18)</f>
        <v/>
      </c>
      <c r="CA20" s="1" t="str">
        <f>IF(ISBLANK(PriceData!CA18),"",PriceData!CA18)</f>
        <v/>
      </c>
      <c r="CB20" s="1" t="str">
        <f>IF(ISBLANK(PriceData!CB18),"",PriceData!CB18)</f>
        <v/>
      </c>
      <c r="CC20" s="1" t="str">
        <f>IF(ISBLANK(PriceData!CC18),"",PriceData!CC18)</f>
        <v/>
      </c>
      <c r="CD20" s="1" t="str">
        <f>IF(ISBLANK(PriceData!CD18),"",PriceData!CD18)</f>
        <v/>
      </c>
      <c r="CE20" s="1" t="str">
        <f>IF(ISBLANK(PriceData!CE18),"",PriceData!CE18)</f>
        <v/>
      </c>
      <c r="CF20" s="1" t="str">
        <f>IF(ISBLANK(PriceData!CF18),"",PriceData!CF18)</f>
        <v/>
      </c>
      <c r="CG20" s="1" t="str">
        <f>IF(ISBLANK(PriceData!CG18),"",PriceData!CG18)</f>
        <v/>
      </c>
      <c r="CH20" s="1" t="str">
        <f>IF(ISBLANK(PriceData!CH18),"",PriceData!CH18)</f>
        <v/>
      </c>
      <c r="CI20" s="1" t="str">
        <f>IF(ISBLANK(PriceData!CI18),"",PriceData!CI18)</f>
        <v/>
      </c>
      <c r="CJ20" s="1" t="str">
        <f>IF(ISBLANK(PriceData!CJ18),"",PriceData!CJ18)</f>
        <v/>
      </c>
      <c r="CK20" s="1" t="str">
        <f>IF(ISBLANK(PriceData!CK18),"",PriceData!CK18)</f>
        <v/>
      </c>
      <c r="CL20" s="1" t="str">
        <f>IF(ISBLANK(PriceData!CL18),"",PriceData!CL18)</f>
        <v/>
      </c>
      <c r="CM20" s="1" t="str">
        <f>IF(ISBLANK(PriceData!CM18),"",PriceData!CM18)</f>
        <v/>
      </c>
      <c r="CN20" s="1" t="str">
        <f>IF(ISBLANK(PriceData!CN18),"",PriceData!CN18)</f>
        <v/>
      </c>
    </row>
    <row r="21" spans="2:92" x14ac:dyDescent="0.25">
      <c r="B21" s="1" t="str">
        <f>IF(ISBLANK(PriceData!A19),"",PriceData!A19)</f>
        <v/>
      </c>
      <c r="C21" s="1" t="str">
        <f>IF(ISBLANK(PriceData!C19),"",PriceData!C19)</f>
        <v/>
      </c>
      <c r="D21" s="1" t="str">
        <f>IF(ISBLANK(PriceData!D19),"",PriceData!D19)</f>
        <v/>
      </c>
      <c r="E21" s="1" t="str">
        <f>IF(ISBLANK(PriceData!E19),"",PriceData!E19)</f>
        <v/>
      </c>
      <c r="F21" s="1" t="str">
        <f>IF(ISBLANK(PriceData!F19),"",PriceData!F19)</f>
        <v/>
      </c>
      <c r="G21" s="1" t="str">
        <f>IF(ISBLANK(PriceData!G19),"",PriceData!G19)</f>
        <v/>
      </c>
      <c r="H21" s="1" t="str">
        <f>IF(ISBLANK(PriceData!H19),"",PriceData!H19)</f>
        <v/>
      </c>
      <c r="I21" s="1" t="str">
        <f>IF(ISBLANK(PriceData!I19),"",PriceData!I19)</f>
        <v/>
      </c>
      <c r="J21" s="1" t="str">
        <f>IF(ISBLANK(PriceData!J19),"",PriceData!J19)</f>
        <v/>
      </c>
      <c r="K21" s="1" t="str">
        <f>IF(ISBLANK(PriceData!K19),"",PriceData!K19)</f>
        <v/>
      </c>
      <c r="L21" s="1" t="str">
        <f>IF(ISBLANK(PriceData!L19),"",PriceData!L19)</f>
        <v/>
      </c>
      <c r="M21" s="1" t="str">
        <f>IF(ISBLANK(PriceData!M19),"",PriceData!M19)</f>
        <v/>
      </c>
      <c r="N21" s="1" t="str">
        <f>IF(ISBLANK(PriceData!N19),"",PriceData!N19)</f>
        <v/>
      </c>
      <c r="O21" s="1" t="str">
        <f>IF(ISBLANK(PriceData!O19),"",PriceData!O19)</f>
        <v/>
      </c>
      <c r="P21" s="1" t="str">
        <f>IF(ISBLANK(PriceData!P19),"",PriceData!P19)</f>
        <v/>
      </c>
      <c r="Q21" s="1" t="str">
        <f>IF(ISBLANK(PriceData!Q19),"",PriceData!Q19)</f>
        <v/>
      </c>
      <c r="R21" s="1" t="str">
        <f>IF(ISBLANK(PriceData!R19),"",PriceData!R19)</f>
        <v/>
      </c>
      <c r="S21" s="1" t="str">
        <f>IF(ISBLANK(PriceData!S19),"",PriceData!S19)</f>
        <v/>
      </c>
      <c r="T21" s="1" t="str">
        <f>IF(ISBLANK(PriceData!T19),"",PriceData!T19)</f>
        <v/>
      </c>
      <c r="U21" s="1" t="str">
        <f>IF(ISBLANK(PriceData!U19),"",PriceData!U19)</f>
        <v/>
      </c>
      <c r="V21" s="1" t="str">
        <f>IF(ISBLANK(PriceData!V19),"",PriceData!V19)</f>
        <v/>
      </c>
      <c r="W21" s="1" t="str">
        <f>IF(ISBLANK(PriceData!W19),"",PriceData!W19)</f>
        <v/>
      </c>
      <c r="X21" s="1" t="str">
        <f>IF(ISBLANK(PriceData!X19),"",PriceData!X19)</f>
        <v/>
      </c>
      <c r="Y21" s="1" t="str">
        <f>IF(ISBLANK(PriceData!Y19),"",PriceData!Y19)</f>
        <v/>
      </c>
      <c r="Z21" s="1" t="str">
        <f>IF(ISBLANK(PriceData!Z19),"",PriceData!Z19)</f>
        <v/>
      </c>
      <c r="AA21" s="1" t="str">
        <f>IF(ISBLANK(PriceData!AA19),"",PriceData!AA19)</f>
        <v/>
      </c>
      <c r="AB21" s="1" t="str">
        <f>IF(ISBLANK(PriceData!AB19),"",PriceData!AB19)</f>
        <v/>
      </c>
      <c r="AC21" s="1" t="str">
        <f>IF(ISBLANK(PriceData!AC19),"",PriceData!AC19)</f>
        <v/>
      </c>
      <c r="AD21" s="1" t="str">
        <f>IF(ISBLANK(PriceData!AD19),"",PriceData!AD19)</f>
        <v/>
      </c>
      <c r="AE21" s="1" t="str">
        <f>IF(ISBLANK(PriceData!AE19),"",PriceData!AE19)</f>
        <v/>
      </c>
      <c r="AF21" s="1" t="str">
        <f>IF(ISBLANK(PriceData!AF19),"",PriceData!AF19)</f>
        <v/>
      </c>
      <c r="AG21" s="1" t="str">
        <f>IF(ISBLANK(PriceData!AG19),"",PriceData!AG19)</f>
        <v/>
      </c>
      <c r="AH21" s="1" t="str">
        <f>IF(ISBLANK(PriceData!AH19),"",PriceData!AH19)</f>
        <v/>
      </c>
      <c r="AI21" s="1" t="str">
        <f>IF(ISBLANK(PriceData!AI19),"",PriceData!AI19)</f>
        <v/>
      </c>
      <c r="AJ21" s="1" t="str">
        <f>IF(ISBLANK(PriceData!AJ19),"",PriceData!AJ19)</f>
        <v/>
      </c>
      <c r="AK21" s="1" t="str">
        <f>IF(ISBLANK(PriceData!AK19),"",PriceData!AK19)</f>
        <v/>
      </c>
      <c r="AL21" s="1" t="str">
        <f>IF(ISBLANK(PriceData!AL19),"",PriceData!AL19)</f>
        <v/>
      </c>
      <c r="AM21" s="1" t="str">
        <f>IF(ISBLANK(PriceData!AM19),"",PriceData!AM19)</f>
        <v/>
      </c>
      <c r="AN21" s="1" t="str">
        <f>IF(ISBLANK(PriceData!AN19),"",PriceData!AN19)</f>
        <v/>
      </c>
      <c r="AO21" s="1" t="str">
        <f>IF(ISBLANK(PriceData!AO19),"",PriceData!AO19)</f>
        <v/>
      </c>
      <c r="AP21" s="1" t="str">
        <f>IF(ISBLANK(PriceData!AP19),"",PriceData!AP19)</f>
        <v/>
      </c>
      <c r="AQ21" s="1" t="str">
        <f>IF(ISBLANK(PriceData!AQ19),"",PriceData!AQ19)</f>
        <v/>
      </c>
      <c r="AR21" s="1" t="str">
        <f>IF(ISBLANK(PriceData!AR19),"",PriceData!AR19)</f>
        <v/>
      </c>
      <c r="AS21" s="1" t="str">
        <f>IF(ISBLANK(PriceData!AS19),"",PriceData!AS19)</f>
        <v/>
      </c>
      <c r="AT21" s="1" t="str">
        <f>IF(ISBLANK(PriceData!AT19),"",PriceData!AT19)</f>
        <v/>
      </c>
      <c r="AU21" s="1" t="str">
        <f>IF(ISBLANK(PriceData!AU19),"",PriceData!AU19)</f>
        <v/>
      </c>
      <c r="AV21" s="1" t="str">
        <f>IF(ISBLANK(PriceData!AV19),"",PriceData!AV19)</f>
        <v/>
      </c>
      <c r="AW21" s="1" t="str">
        <f>IF(ISBLANK(PriceData!AW19),"",PriceData!AW19)</f>
        <v/>
      </c>
      <c r="AX21" s="1" t="str">
        <f>IF(ISBLANK(PriceData!AX19),"",PriceData!AX19)</f>
        <v/>
      </c>
      <c r="AY21" s="1" t="str">
        <f>IF(ISBLANK(PriceData!AY19),"",PriceData!AY19)</f>
        <v/>
      </c>
      <c r="AZ21" s="1" t="str">
        <f>IF(ISBLANK(PriceData!AZ19),"",PriceData!AZ19)</f>
        <v/>
      </c>
      <c r="BA21" s="1" t="str">
        <f>IF(ISBLANK(PriceData!BA19),"",PriceData!BA19)</f>
        <v/>
      </c>
      <c r="BB21" s="1" t="str">
        <f>IF(ISBLANK(PriceData!BB19),"",PriceData!BB19)</f>
        <v/>
      </c>
      <c r="BC21" s="1" t="str">
        <f>IF(ISBLANK(PriceData!BC19),"",PriceData!BC19)</f>
        <v/>
      </c>
      <c r="BD21" s="1" t="str">
        <f>IF(ISBLANK(PriceData!BD19),"",PriceData!BD19)</f>
        <v/>
      </c>
      <c r="BE21" s="1" t="str">
        <f>IF(ISBLANK(PriceData!BE19),"",PriceData!BE19)</f>
        <v/>
      </c>
      <c r="BF21" s="1" t="str">
        <f>IF(ISBLANK(PriceData!BF19),"",PriceData!BF19)</f>
        <v/>
      </c>
      <c r="BG21" s="1" t="str">
        <f>IF(ISBLANK(PriceData!BG19),"",PriceData!BG19)</f>
        <v/>
      </c>
      <c r="BH21" s="1" t="str">
        <f>IF(ISBLANK(PriceData!BH19),"",PriceData!BH19)</f>
        <v/>
      </c>
      <c r="BI21" s="1" t="str">
        <f>IF(ISBLANK(PriceData!BI19),"",PriceData!BI19)</f>
        <v/>
      </c>
      <c r="BJ21" s="1" t="str">
        <f>IF(ISBLANK(PriceData!BJ19),"",PriceData!BJ19)</f>
        <v/>
      </c>
      <c r="BK21" s="1" t="str">
        <f>IF(ISBLANK(PriceData!BK19),"",PriceData!BK19)</f>
        <v/>
      </c>
      <c r="BL21" s="1" t="str">
        <f>IF(ISBLANK(PriceData!BL19),"",PriceData!BL19)</f>
        <v/>
      </c>
      <c r="BM21" s="1" t="str">
        <f>IF(ISBLANK(PriceData!BM19),"",PriceData!BM19)</f>
        <v/>
      </c>
      <c r="BN21" s="1" t="str">
        <f>IF(ISBLANK(PriceData!BN19),"",PriceData!BN19)</f>
        <v/>
      </c>
      <c r="BO21" s="1" t="str">
        <f>IF(ISBLANK(PriceData!BO19),"",PriceData!BO19)</f>
        <v/>
      </c>
      <c r="BP21" s="1" t="str">
        <f>IF(ISBLANK(PriceData!BP19),"",PriceData!BP19)</f>
        <v/>
      </c>
      <c r="BQ21" s="1" t="str">
        <f>IF(ISBLANK(PriceData!BQ19),"",PriceData!BQ19)</f>
        <v/>
      </c>
      <c r="BR21" s="1" t="str">
        <f>IF(ISBLANK(PriceData!BR19),"",PriceData!BR19)</f>
        <v/>
      </c>
      <c r="BS21" s="1" t="str">
        <f>IF(ISBLANK(PriceData!BS19),"",PriceData!BS19)</f>
        <v/>
      </c>
      <c r="BT21" s="1" t="str">
        <f>IF(ISBLANK(PriceData!BT19),"",PriceData!BT19)</f>
        <v/>
      </c>
      <c r="BU21" s="1" t="str">
        <f>IF(ISBLANK(PriceData!BU19),"",PriceData!BU19)</f>
        <v/>
      </c>
      <c r="BV21" s="1" t="str">
        <f>IF(ISBLANK(PriceData!BV19),"",PriceData!BV19)</f>
        <v/>
      </c>
      <c r="BW21" s="1" t="str">
        <f>IF(ISBLANK(PriceData!BW19),"",PriceData!BW19)</f>
        <v/>
      </c>
      <c r="BX21" s="1" t="str">
        <f>IF(ISBLANK(PriceData!BX19),"",PriceData!BX19)</f>
        <v/>
      </c>
      <c r="BY21" s="1" t="str">
        <f>IF(ISBLANK(PriceData!BY19),"",PriceData!BY19)</f>
        <v/>
      </c>
      <c r="BZ21" s="1" t="str">
        <f>IF(ISBLANK(PriceData!BZ19),"",PriceData!BZ19)</f>
        <v/>
      </c>
      <c r="CA21" s="1" t="str">
        <f>IF(ISBLANK(PriceData!CA19),"",PriceData!CA19)</f>
        <v/>
      </c>
      <c r="CB21" s="1" t="str">
        <f>IF(ISBLANK(PriceData!CB19),"",PriceData!CB19)</f>
        <v/>
      </c>
      <c r="CC21" s="1" t="str">
        <f>IF(ISBLANK(PriceData!CC19),"",PriceData!CC19)</f>
        <v/>
      </c>
      <c r="CD21" s="1" t="str">
        <f>IF(ISBLANK(PriceData!CD19),"",PriceData!CD19)</f>
        <v/>
      </c>
      <c r="CE21" s="1" t="str">
        <f>IF(ISBLANK(PriceData!CE19),"",PriceData!CE19)</f>
        <v/>
      </c>
      <c r="CF21" s="1" t="str">
        <f>IF(ISBLANK(PriceData!CF19),"",PriceData!CF19)</f>
        <v/>
      </c>
      <c r="CG21" s="1" t="str">
        <f>IF(ISBLANK(PriceData!CG19),"",PriceData!CG19)</f>
        <v/>
      </c>
      <c r="CH21" s="1" t="str">
        <f>IF(ISBLANK(PriceData!CH19),"",PriceData!CH19)</f>
        <v/>
      </c>
      <c r="CI21" s="1" t="str">
        <f>IF(ISBLANK(PriceData!CI19),"",PriceData!CI19)</f>
        <v/>
      </c>
      <c r="CJ21" s="1" t="str">
        <f>IF(ISBLANK(PriceData!CJ19),"",PriceData!CJ19)</f>
        <v/>
      </c>
      <c r="CK21" s="1" t="str">
        <f>IF(ISBLANK(PriceData!CK19),"",PriceData!CK19)</f>
        <v/>
      </c>
      <c r="CL21" s="1" t="str">
        <f>IF(ISBLANK(PriceData!CL19),"",PriceData!CL19)</f>
        <v/>
      </c>
      <c r="CM21" s="1" t="str">
        <f>IF(ISBLANK(PriceData!CM19),"",PriceData!CM19)</f>
        <v/>
      </c>
      <c r="CN21" s="1" t="str">
        <f>IF(ISBLANK(PriceData!CN19),"",PriceData!CN19)</f>
        <v/>
      </c>
    </row>
    <row r="22" spans="2:92" x14ac:dyDescent="0.25">
      <c r="B22" s="1" t="str">
        <f>IF(ISBLANK(PriceData!A20),"",PriceData!A20)</f>
        <v/>
      </c>
      <c r="C22" s="1" t="str">
        <f>IF(ISBLANK(PriceData!C20),"",PriceData!C20)</f>
        <v/>
      </c>
      <c r="D22" s="1" t="str">
        <f>IF(ISBLANK(PriceData!D20),"",PriceData!D20)</f>
        <v/>
      </c>
      <c r="E22" s="1" t="str">
        <f>IF(ISBLANK(PriceData!E20),"",PriceData!E20)</f>
        <v/>
      </c>
      <c r="F22" s="1" t="str">
        <f>IF(ISBLANK(PriceData!F20),"",PriceData!F20)</f>
        <v/>
      </c>
      <c r="G22" s="1" t="str">
        <f>IF(ISBLANK(PriceData!G20),"",PriceData!G20)</f>
        <v/>
      </c>
      <c r="H22" s="1" t="str">
        <f>IF(ISBLANK(PriceData!H20),"",PriceData!H20)</f>
        <v/>
      </c>
      <c r="I22" s="1" t="str">
        <f>IF(ISBLANK(PriceData!I20),"",PriceData!I20)</f>
        <v/>
      </c>
      <c r="J22" s="1" t="str">
        <f>IF(ISBLANK(PriceData!J20),"",PriceData!J20)</f>
        <v/>
      </c>
      <c r="K22" s="1" t="str">
        <f>IF(ISBLANK(PriceData!K20),"",PriceData!K20)</f>
        <v/>
      </c>
      <c r="L22" s="1" t="str">
        <f>IF(ISBLANK(PriceData!L20),"",PriceData!L20)</f>
        <v/>
      </c>
      <c r="M22" s="1" t="str">
        <f>IF(ISBLANK(PriceData!M20),"",PriceData!M20)</f>
        <v/>
      </c>
      <c r="N22" s="1" t="str">
        <f>IF(ISBLANK(PriceData!N20),"",PriceData!N20)</f>
        <v/>
      </c>
      <c r="O22" s="1" t="str">
        <f>IF(ISBLANK(PriceData!O20),"",PriceData!O20)</f>
        <v/>
      </c>
      <c r="P22" s="1" t="str">
        <f>IF(ISBLANK(PriceData!P20),"",PriceData!P20)</f>
        <v/>
      </c>
      <c r="Q22" s="1" t="str">
        <f>IF(ISBLANK(PriceData!Q20),"",PriceData!Q20)</f>
        <v/>
      </c>
      <c r="R22" s="1" t="str">
        <f>IF(ISBLANK(PriceData!R20),"",PriceData!R20)</f>
        <v/>
      </c>
      <c r="S22" s="1" t="str">
        <f>IF(ISBLANK(PriceData!S20),"",PriceData!S20)</f>
        <v/>
      </c>
      <c r="T22" s="1" t="str">
        <f>IF(ISBLANK(PriceData!T20),"",PriceData!T20)</f>
        <v/>
      </c>
      <c r="U22" s="1" t="str">
        <f>IF(ISBLANK(PriceData!U20),"",PriceData!U20)</f>
        <v/>
      </c>
      <c r="V22" s="1" t="str">
        <f>IF(ISBLANK(PriceData!V20),"",PriceData!V20)</f>
        <v/>
      </c>
      <c r="W22" s="1" t="str">
        <f>IF(ISBLANK(PriceData!W20),"",PriceData!W20)</f>
        <v/>
      </c>
      <c r="X22" s="1" t="str">
        <f>IF(ISBLANK(PriceData!X20),"",PriceData!X20)</f>
        <v/>
      </c>
      <c r="Y22" s="1" t="str">
        <f>IF(ISBLANK(PriceData!Y20),"",PriceData!Y20)</f>
        <v/>
      </c>
      <c r="Z22" s="1" t="str">
        <f>IF(ISBLANK(PriceData!Z20),"",PriceData!Z20)</f>
        <v/>
      </c>
      <c r="AA22" s="1" t="str">
        <f>IF(ISBLANK(PriceData!AA20),"",PriceData!AA20)</f>
        <v/>
      </c>
      <c r="AB22" s="1" t="str">
        <f>IF(ISBLANK(PriceData!AB20),"",PriceData!AB20)</f>
        <v/>
      </c>
      <c r="AC22" s="1" t="str">
        <f>IF(ISBLANK(PriceData!AC20),"",PriceData!AC20)</f>
        <v/>
      </c>
      <c r="AD22" s="1" t="str">
        <f>IF(ISBLANK(PriceData!AD20),"",PriceData!AD20)</f>
        <v/>
      </c>
      <c r="AE22" s="1" t="str">
        <f>IF(ISBLANK(PriceData!AE20),"",PriceData!AE20)</f>
        <v/>
      </c>
      <c r="AF22" s="1" t="str">
        <f>IF(ISBLANK(PriceData!AF20),"",PriceData!AF20)</f>
        <v/>
      </c>
      <c r="AG22" s="1" t="str">
        <f>IF(ISBLANK(PriceData!AG20),"",PriceData!AG20)</f>
        <v/>
      </c>
      <c r="AH22" s="1" t="str">
        <f>IF(ISBLANK(PriceData!AH20),"",PriceData!AH20)</f>
        <v/>
      </c>
      <c r="AI22" s="1" t="str">
        <f>IF(ISBLANK(PriceData!AI20),"",PriceData!AI20)</f>
        <v/>
      </c>
      <c r="AJ22" s="1" t="str">
        <f>IF(ISBLANK(PriceData!AJ20),"",PriceData!AJ20)</f>
        <v/>
      </c>
      <c r="AK22" s="1" t="str">
        <f>IF(ISBLANK(PriceData!AK20),"",PriceData!AK20)</f>
        <v/>
      </c>
      <c r="AL22" s="1" t="str">
        <f>IF(ISBLANK(PriceData!AL20),"",PriceData!AL20)</f>
        <v/>
      </c>
      <c r="AM22" s="1" t="str">
        <f>IF(ISBLANK(PriceData!AM20),"",PriceData!AM20)</f>
        <v/>
      </c>
      <c r="AN22" s="1" t="str">
        <f>IF(ISBLANK(PriceData!AN20),"",PriceData!AN20)</f>
        <v/>
      </c>
      <c r="AO22" s="1" t="str">
        <f>IF(ISBLANK(PriceData!AO20),"",PriceData!AO20)</f>
        <v/>
      </c>
      <c r="AP22" s="1" t="str">
        <f>IF(ISBLANK(PriceData!AP20),"",PriceData!AP20)</f>
        <v/>
      </c>
      <c r="AQ22" s="1" t="str">
        <f>IF(ISBLANK(PriceData!AQ20),"",PriceData!AQ20)</f>
        <v/>
      </c>
      <c r="AR22" s="1" t="str">
        <f>IF(ISBLANK(PriceData!AR20),"",PriceData!AR20)</f>
        <v/>
      </c>
      <c r="AS22" s="1" t="str">
        <f>IF(ISBLANK(PriceData!AS20),"",PriceData!AS20)</f>
        <v/>
      </c>
      <c r="AT22" s="1" t="str">
        <f>IF(ISBLANK(PriceData!AT20),"",PriceData!AT20)</f>
        <v/>
      </c>
      <c r="AU22" s="1" t="str">
        <f>IF(ISBLANK(PriceData!AU20),"",PriceData!AU20)</f>
        <v/>
      </c>
      <c r="AV22" s="1" t="str">
        <f>IF(ISBLANK(PriceData!AV20),"",PriceData!AV20)</f>
        <v/>
      </c>
      <c r="AW22" s="1" t="str">
        <f>IF(ISBLANK(PriceData!AW20),"",PriceData!AW20)</f>
        <v/>
      </c>
      <c r="AX22" s="1" t="str">
        <f>IF(ISBLANK(PriceData!AX20),"",PriceData!AX20)</f>
        <v/>
      </c>
      <c r="AY22" s="1" t="str">
        <f>IF(ISBLANK(PriceData!AY20),"",PriceData!AY20)</f>
        <v/>
      </c>
      <c r="AZ22" s="1" t="str">
        <f>IF(ISBLANK(PriceData!AZ20),"",PriceData!AZ20)</f>
        <v/>
      </c>
      <c r="BA22" s="1" t="str">
        <f>IF(ISBLANK(PriceData!BA20),"",PriceData!BA20)</f>
        <v/>
      </c>
      <c r="BB22" s="1" t="str">
        <f>IF(ISBLANK(PriceData!BB20),"",PriceData!BB20)</f>
        <v/>
      </c>
      <c r="BC22" s="1" t="str">
        <f>IF(ISBLANK(PriceData!BC20),"",PriceData!BC20)</f>
        <v/>
      </c>
      <c r="BD22" s="1" t="str">
        <f>IF(ISBLANK(PriceData!BD20),"",PriceData!BD20)</f>
        <v/>
      </c>
      <c r="BE22" s="1" t="str">
        <f>IF(ISBLANK(PriceData!BE20),"",PriceData!BE20)</f>
        <v/>
      </c>
      <c r="BF22" s="1" t="str">
        <f>IF(ISBLANK(PriceData!BF20),"",PriceData!BF20)</f>
        <v/>
      </c>
      <c r="BG22" s="1" t="str">
        <f>IF(ISBLANK(PriceData!BG20),"",PriceData!BG20)</f>
        <v/>
      </c>
      <c r="BH22" s="1" t="str">
        <f>IF(ISBLANK(PriceData!BH20),"",PriceData!BH20)</f>
        <v/>
      </c>
      <c r="BI22" s="1" t="str">
        <f>IF(ISBLANK(PriceData!BI20),"",PriceData!BI20)</f>
        <v/>
      </c>
      <c r="BJ22" s="1" t="str">
        <f>IF(ISBLANK(PriceData!BJ20),"",PriceData!BJ20)</f>
        <v/>
      </c>
      <c r="BK22" s="1" t="str">
        <f>IF(ISBLANK(PriceData!BK20),"",PriceData!BK20)</f>
        <v/>
      </c>
      <c r="BL22" s="1" t="str">
        <f>IF(ISBLANK(PriceData!BL20),"",PriceData!BL20)</f>
        <v/>
      </c>
      <c r="BM22" s="1" t="str">
        <f>IF(ISBLANK(PriceData!BM20),"",PriceData!BM20)</f>
        <v/>
      </c>
      <c r="BN22" s="1" t="str">
        <f>IF(ISBLANK(PriceData!BN20),"",PriceData!BN20)</f>
        <v/>
      </c>
      <c r="BO22" s="1" t="str">
        <f>IF(ISBLANK(PriceData!BO20),"",PriceData!BO20)</f>
        <v/>
      </c>
      <c r="BP22" s="1" t="str">
        <f>IF(ISBLANK(PriceData!BP20),"",PriceData!BP20)</f>
        <v/>
      </c>
      <c r="BQ22" s="1" t="str">
        <f>IF(ISBLANK(PriceData!BQ20),"",PriceData!BQ20)</f>
        <v/>
      </c>
      <c r="BR22" s="1" t="str">
        <f>IF(ISBLANK(PriceData!BR20),"",PriceData!BR20)</f>
        <v/>
      </c>
      <c r="BS22" s="1" t="str">
        <f>IF(ISBLANK(PriceData!BS20),"",PriceData!BS20)</f>
        <v/>
      </c>
      <c r="BT22" s="1" t="str">
        <f>IF(ISBLANK(PriceData!BT20),"",PriceData!BT20)</f>
        <v/>
      </c>
      <c r="BU22" s="1" t="str">
        <f>IF(ISBLANK(PriceData!BU20),"",PriceData!BU20)</f>
        <v/>
      </c>
      <c r="BV22" s="1" t="str">
        <f>IF(ISBLANK(PriceData!BV20),"",PriceData!BV20)</f>
        <v/>
      </c>
      <c r="BW22" s="1" t="str">
        <f>IF(ISBLANK(PriceData!BW20),"",PriceData!BW20)</f>
        <v/>
      </c>
      <c r="BX22" s="1" t="str">
        <f>IF(ISBLANK(PriceData!BX20),"",PriceData!BX20)</f>
        <v/>
      </c>
      <c r="BY22" s="1" t="str">
        <f>IF(ISBLANK(PriceData!BY20),"",PriceData!BY20)</f>
        <v/>
      </c>
      <c r="BZ22" s="1" t="str">
        <f>IF(ISBLANK(PriceData!BZ20),"",PriceData!BZ20)</f>
        <v/>
      </c>
      <c r="CA22" s="1" t="str">
        <f>IF(ISBLANK(PriceData!CA20),"",PriceData!CA20)</f>
        <v/>
      </c>
      <c r="CB22" s="1" t="str">
        <f>IF(ISBLANK(PriceData!CB20),"",PriceData!CB20)</f>
        <v/>
      </c>
      <c r="CC22" s="1" t="str">
        <f>IF(ISBLANK(PriceData!CC20),"",PriceData!CC20)</f>
        <v/>
      </c>
      <c r="CD22" s="1" t="str">
        <f>IF(ISBLANK(PriceData!CD20),"",PriceData!CD20)</f>
        <v/>
      </c>
      <c r="CE22" s="1" t="str">
        <f>IF(ISBLANK(PriceData!CE20),"",PriceData!CE20)</f>
        <v/>
      </c>
      <c r="CF22" s="1" t="str">
        <f>IF(ISBLANK(PriceData!CF20),"",PriceData!CF20)</f>
        <v/>
      </c>
      <c r="CG22" s="1" t="str">
        <f>IF(ISBLANK(PriceData!CG20),"",PriceData!CG20)</f>
        <v/>
      </c>
      <c r="CH22" s="1" t="str">
        <f>IF(ISBLANK(PriceData!CH20),"",PriceData!CH20)</f>
        <v/>
      </c>
      <c r="CI22" s="1" t="str">
        <f>IF(ISBLANK(PriceData!CI20),"",PriceData!CI20)</f>
        <v/>
      </c>
      <c r="CJ22" s="1" t="str">
        <f>IF(ISBLANK(PriceData!CJ20),"",PriceData!CJ20)</f>
        <v/>
      </c>
      <c r="CK22" s="1" t="str">
        <f>IF(ISBLANK(PriceData!CK20),"",PriceData!CK20)</f>
        <v/>
      </c>
      <c r="CL22" s="1" t="str">
        <f>IF(ISBLANK(PriceData!CL20),"",PriceData!CL20)</f>
        <v/>
      </c>
      <c r="CM22" s="1" t="str">
        <f>IF(ISBLANK(PriceData!CM20),"",PriceData!CM20)</f>
        <v/>
      </c>
      <c r="CN22" s="1" t="str">
        <f>IF(ISBLANK(PriceData!CN20),"",PriceData!CN20)</f>
        <v/>
      </c>
    </row>
    <row r="23" spans="2:92" x14ac:dyDescent="0.25">
      <c r="B23" s="1" t="str">
        <f>IF(ISBLANK(PriceData!A21),"",PriceData!A21)</f>
        <v/>
      </c>
      <c r="C23" s="1" t="str">
        <f>IF(ISBLANK(PriceData!C21),"",PriceData!C21)</f>
        <v/>
      </c>
      <c r="D23" s="1" t="str">
        <f>IF(ISBLANK(PriceData!D21),"",PriceData!D21)</f>
        <v/>
      </c>
      <c r="E23" s="1" t="str">
        <f>IF(ISBLANK(PriceData!E21),"",PriceData!E21)</f>
        <v/>
      </c>
      <c r="F23" s="1" t="str">
        <f>IF(ISBLANK(PriceData!F21),"",PriceData!F21)</f>
        <v/>
      </c>
      <c r="G23" s="1" t="str">
        <f>IF(ISBLANK(PriceData!G21),"",PriceData!G21)</f>
        <v/>
      </c>
      <c r="H23" s="1" t="str">
        <f>IF(ISBLANK(PriceData!H21),"",PriceData!H21)</f>
        <v/>
      </c>
      <c r="I23" s="1" t="str">
        <f>IF(ISBLANK(PriceData!I21),"",PriceData!I21)</f>
        <v/>
      </c>
      <c r="J23" s="1" t="str">
        <f>IF(ISBLANK(PriceData!J21),"",PriceData!J21)</f>
        <v/>
      </c>
      <c r="K23" s="1" t="str">
        <f>IF(ISBLANK(PriceData!K21),"",PriceData!K21)</f>
        <v/>
      </c>
      <c r="L23" s="1" t="str">
        <f>IF(ISBLANK(PriceData!L21),"",PriceData!L21)</f>
        <v/>
      </c>
      <c r="M23" s="1" t="str">
        <f>IF(ISBLANK(PriceData!M21),"",PriceData!M21)</f>
        <v/>
      </c>
      <c r="N23" s="1" t="str">
        <f>IF(ISBLANK(PriceData!N21),"",PriceData!N21)</f>
        <v/>
      </c>
      <c r="O23" s="1" t="str">
        <f>IF(ISBLANK(PriceData!O21),"",PriceData!O21)</f>
        <v/>
      </c>
      <c r="P23" s="1" t="str">
        <f>IF(ISBLANK(PriceData!P21),"",PriceData!P21)</f>
        <v/>
      </c>
      <c r="Q23" s="1" t="str">
        <f>IF(ISBLANK(PriceData!Q21),"",PriceData!Q21)</f>
        <v/>
      </c>
      <c r="R23" s="1" t="str">
        <f>IF(ISBLANK(PriceData!R21),"",PriceData!R21)</f>
        <v/>
      </c>
      <c r="S23" s="1" t="str">
        <f>IF(ISBLANK(PriceData!S21),"",PriceData!S21)</f>
        <v/>
      </c>
      <c r="T23" s="1" t="str">
        <f>IF(ISBLANK(PriceData!T21),"",PriceData!T21)</f>
        <v/>
      </c>
      <c r="U23" s="1" t="str">
        <f>IF(ISBLANK(PriceData!U21),"",PriceData!U21)</f>
        <v/>
      </c>
      <c r="V23" s="1" t="str">
        <f>IF(ISBLANK(PriceData!V21),"",PriceData!V21)</f>
        <v/>
      </c>
      <c r="W23" s="1" t="str">
        <f>IF(ISBLANK(PriceData!W21),"",PriceData!W21)</f>
        <v/>
      </c>
      <c r="X23" s="1" t="str">
        <f>IF(ISBLANK(PriceData!X21),"",PriceData!X21)</f>
        <v/>
      </c>
      <c r="Y23" s="1" t="str">
        <f>IF(ISBLANK(PriceData!Y21),"",PriceData!Y21)</f>
        <v/>
      </c>
      <c r="Z23" s="1" t="str">
        <f>IF(ISBLANK(PriceData!Z21),"",PriceData!Z21)</f>
        <v/>
      </c>
      <c r="AA23" s="1" t="str">
        <f>IF(ISBLANK(PriceData!AA21),"",PriceData!AA21)</f>
        <v/>
      </c>
      <c r="AB23" s="1" t="str">
        <f>IF(ISBLANK(PriceData!AB21),"",PriceData!AB21)</f>
        <v/>
      </c>
      <c r="AC23" s="1" t="str">
        <f>IF(ISBLANK(PriceData!AC21),"",PriceData!AC21)</f>
        <v/>
      </c>
      <c r="AD23" s="1" t="str">
        <f>IF(ISBLANK(PriceData!AD21),"",PriceData!AD21)</f>
        <v/>
      </c>
      <c r="AE23" s="1" t="str">
        <f>IF(ISBLANK(PriceData!AE21),"",PriceData!AE21)</f>
        <v/>
      </c>
      <c r="AF23" s="1" t="str">
        <f>IF(ISBLANK(PriceData!AF21),"",PriceData!AF21)</f>
        <v/>
      </c>
      <c r="AG23" s="1" t="str">
        <f>IF(ISBLANK(PriceData!AG21),"",PriceData!AG21)</f>
        <v/>
      </c>
      <c r="AH23" s="1" t="str">
        <f>IF(ISBLANK(PriceData!AH21),"",PriceData!AH21)</f>
        <v/>
      </c>
      <c r="AI23" s="1" t="str">
        <f>IF(ISBLANK(PriceData!AI21),"",PriceData!AI21)</f>
        <v/>
      </c>
      <c r="AJ23" s="1" t="str">
        <f>IF(ISBLANK(PriceData!AJ21),"",PriceData!AJ21)</f>
        <v/>
      </c>
      <c r="AK23" s="1" t="str">
        <f>IF(ISBLANK(PriceData!AK21),"",PriceData!AK21)</f>
        <v/>
      </c>
      <c r="AL23" s="1" t="str">
        <f>IF(ISBLANK(PriceData!AL21),"",PriceData!AL21)</f>
        <v/>
      </c>
      <c r="AM23" s="1" t="str">
        <f>IF(ISBLANK(PriceData!AM21),"",PriceData!AM21)</f>
        <v/>
      </c>
      <c r="AN23" s="1" t="str">
        <f>IF(ISBLANK(PriceData!AN21),"",PriceData!AN21)</f>
        <v/>
      </c>
      <c r="AO23" s="1" t="str">
        <f>IF(ISBLANK(PriceData!AO21),"",PriceData!AO21)</f>
        <v/>
      </c>
      <c r="AP23" s="1" t="str">
        <f>IF(ISBLANK(PriceData!AP21),"",PriceData!AP21)</f>
        <v/>
      </c>
      <c r="AQ23" s="1" t="str">
        <f>IF(ISBLANK(PriceData!AQ21),"",PriceData!AQ21)</f>
        <v/>
      </c>
      <c r="AR23" s="1" t="str">
        <f>IF(ISBLANK(PriceData!AR21),"",PriceData!AR21)</f>
        <v/>
      </c>
      <c r="AS23" s="1" t="str">
        <f>IF(ISBLANK(PriceData!AS21),"",PriceData!AS21)</f>
        <v/>
      </c>
      <c r="AT23" s="1" t="str">
        <f>IF(ISBLANK(PriceData!AT21),"",PriceData!AT21)</f>
        <v/>
      </c>
      <c r="AU23" s="1" t="str">
        <f>IF(ISBLANK(PriceData!AU21),"",PriceData!AU21)</f>
        <v/>
      </c>
      <c r="AV23" s="1" t="str">
        <f>IF(ISBLANK(PriceData!AV21),"",PriceData!AV21)</f>
        <v/>
      </c>
      <c r="AW23" s="1" t="str">
        <f>IF(ISBLANK(PriceData!AW21),"",PriceData!AW21)</f>
        <v/>
      </c>
      <c r="AX23" s="1" t="str">
        <f>IF(ISBLANK(PriceData!AX21),"",PriceData!AX21)</f>
        <v/>
      </c>
      <c r="AY23" s="1" t="str">
        <f>IF(ISBLANK(PriceData!AY21),"",PriceData!AY21)</f>
        <v/>
      </c>
      <c r="AZ23" s="1" t="str">
        <f>IF(ISBLANK(PriceData!AZ21),"",PriceData!AZ21)</f>
        <v/>
      </c>
      <c r="BA23" s="1" t="str">
        <f>IF(ISBLANK(PriceData!BA21),"",PriceData!BA21)</f>
        <v/>
      </c>
      <c r="BB23" s="1" t="str">
        <f>IF(ISBLANK(PriceData!BB21),"",PriceData!BB21)</f>
        <v/>
      </c>
      <c r="BC23" s="1" t="str">
        <f>IF(ISBLANK(PriceData!BC21),"",PriceData!BC21)</f>
        <v/>
      </c>
      <c r="BD23" s="1" t="str">
        <f>IF(ISBLANK(PriceData!BD21),"",PriceData!BD21)</f>
        <v/>
      </c>
      <c r="BE23" s="1" t="str">
        <f>IF(ISBLANK(PriceData!BE21),"",PriceData!BE21)</f>
        <v/>
      </c>
      <c r="BF23" s="1" t="str">
        <f>IF(ISBLANK(PriceData!BF21),"",PriceData!BF21)</f>
        <v/>
      </c>
      <c r="BG23" s="1" t="str">
        <f>IF(ISBLANK(PriceData!BG21),"",PriceData!BG21)</f>
        <v/>
      </c>
      <c r="BH23" s="1" t="str">
        <f>IF(ISBLANK(PriceData!BH21),"",PriceData!BH21)</f>
        <v/>
      </c>
      <c r="BI23" s="1" t="str">
        <f>IF(ISBLANK(PriceData!BI21),"",PriceData!BI21)</f>
        <v/>
      </c>
      <c r="BJ23" s="1" t="str">
        <f>IF(ISBLANK(PriceData!BJ21),"",PriceData!BJ21)</f>
        <v/>
      </c>
      <c r="BK23" s="1" t="str">
        <f>IF(ISBLANK(PriceData!BK21),"",PriceData!BK21)</f>
        <v/>
      </c>
      <c r="BL23" s="1" t="str">
        <f>IF(ISBLANK(PriceData!BL21),"",PriceData!BL21)</f>
        <v/>
      </c>
      <c r="BM23" s="1" t="str">
        <f>IF(ISBLANK(PriceData!BM21),"",PriceData!BM21)</f>
        <v/>
      </c>
      <c r="BN23" s="1" t="str">
        <f>IF(ISBLANK(PriceData!BN21),"",PriceData!BN21)</f>
        <v/>
      </c>
      <c r="BO23" s="1" t="str">
        <f>IF(ISBLANK(PriceData!BO21),"",PriceData!BO21)</f>
        <v/>
      </c>
      <c r="BP23" s="1" t="str">
        <f>IF(ISBLANK(PriceData!BP21),"",PriceData!BP21)</f>
        <v/>
      </c>
      <c r="BQ23" s="1" t="str">
        <f>IF(ISBLANK(PriceData!BQ21),"",PriceData!BQ21)</f>
        <v/>
      </c>
      <c r="BR23" s="1" t="str">
        <f>IF(ISBLANK(PriceData!BR21),"",PriceData!BR21)</f>
        <v/>
      </c>
      <c r="BS23" s="1" t="str">
        <f>IF(ISBLANK(PriceData!BS21),"",PriceData!BS21)</f>
        <v/>
      </c>
      <c r="BT23" s="1" t="str">
        <f>IF(ISBLANK(PriceData!BT21),"",PriceData!BT21)</f>
        <v/>
      </c>
      <c r="BU23" s="1" t="str">
        <f>IF(ISBLANK(PriceData!BU21),"",PriceData!BU21)</f>
        <v/>
      </c>
      <c r="BV23" s="1" t="str">
        <f>IF(ISBLANK(PriceData!BV21),"",PriceData!BV21)</f>
        <v/>
      </c>
      <c r="BW23" s="1" t="str">
        <f>IF(ISBLANK(PriceData!BW21),"",PriceData!BW21)</f>
        <v/>
      </c>
      <c r="BX23" s="1" t="str">
        <f>IF(ISBLANK(PriceData!BX21),"",PriceData!BX21)</f>
        <v/>
      </c>
      <c r="BY23" s="1" t="str">
        <f>IF(ISBLANK(PriceData!BY21),"",PriceData!BY21)</f>
        <v/>
      </c>
      <c r="BZ23" s="1" t="str">
        <f>IF(ISBLANK(PriceData!BZ21),"",PriceData!BZ21)</f>
        <v/>
      </c>
      <c r="CA23" s="1" t="str">
        <f>IF(ISBLANK(PriceData!CA21),"",PriceData!CA21)</f>
        <v/>
      </c>
      <c r="CB23" s="1" t="str">
        <f>IF(ISBLANK(PriceData!CB21),"",PriceData!CB21)</f>
        <v/>
      </c>
      <c r="CC23" s="1" t="str">
        <f>IF(ISBLANK(PriceData!CC21),"",PriceData!CC21)</f>
        <v/>
      </c>
      <c r="CD23" s="1" t="str">
        <f>IF(ISBLANK(PriceData!CD21),"",PriceData!CD21)</f>
        <v/>
      </c>
      <c r="CE23" s="1" t="str">
        <f>IF(ISBLANK(PriceData!CE21),"",PriceData!CE21)</f>
        <v/>
      </c>
      <c r="CF23" s="1" t="str">
        <f>IF(ISBLANK(PriceData!CF21),"",PriceData!CF21)</f>
        <v/>
      </c>
      <c r="CG23" s="1" t="str">
        <f>IF(ISBLANK(PriceData!CG21),"",PriceData!CG21)</f>
        <v/>
      </c>
      <c r="CH23" s="1" t="str">
        <f>IF(ISBLANK(PriceData!CH21),"",PriceData!CH21)</f>
        <v/>
      </c>
      <c r="CI23" s="1" t="str">
        <f>IF(ISBLANK(PriceData!CI21),"",PriceData!CI21)</f>
        <v/>
      </c>
      <c r="CJ23" s="1" t="str">
        <f>IF(ISBLANK(PriceData!CJ21),"",PriceData!CJ21)</f>
        <v/>
      </c>
      <c r="CK23" s="1" t="str">
        <f>IF(ISBLANK(PriceData!CK21),"",PriceData!CK21)</f>
        <v/>
      </c>
      <c r="CL23" s="1" t="str">
        <f>IF(ISBLANK(PriceData!CL21),"",PriceData!CL21)</f>
        <v/>
      </c>
      <c r="CM23" s="1" t="str">
        <f>IF(ISBLANK(PriceData!CM21),"",PriceData!CM21)</f>
        <v/>
      </c>
      <c r="CN23" s="1" t="str">
        <f>IF(ISBLANK(PriceData!CN21),"",PriceData!CN21)</f>
        <v/>
      </c>
    </row>
    <row r="24" spans="2:92" x14ac:dyDescent="0.25">
      <c r="B24" s="1" t="str">
        <f>IF(ISBLANK(PriceData!A22),"",PriceData!A22)</f>
        <v/>
      </c>
      <c r="C24" s="1" t="str">
        <f>IF(ISBLANK(PriceData!C22),"",PriceData!C22)</f>
        <v/>
      </c>
      <c r="D24" s="1" t="str">
        <f>IF(ISBLANK(PriceData!D22),"",PriceData!D22)</f>
        <v/>
      </c>
      <c r="E24" s="1" t="str">
        <f>IF(ISBLANK(PriceData!E22),"",PriceData!E22)</f>
        <v/>
      </c>
      <c r="F24" s="1" t="str">
        <f>IF(ISBLANK(PriceData!F22),"",PriceData!F22)</f>
        <v/>
      </c>
      <c r="G24" s="1" t="str">
        <f>IF(ISBLANK(PriceData!G22),"",PriceData!G22)</f>
        <v/>
      </c>
      <c r="H24" s="1" t="str">
        <f>IF(ISBLANK(PriceData!H22),"",PriceData!H22)</f>
        <v/>
      </c>
      <c r="I24" s="1" t="str">
        <f>IF(ISBLANK(PriceData!I22),"",PriceData!I22)</f>
        <v/>
      </c>
      <c r="J24" s="1" t="str">
        <f>IF(ISBLANK(PriceData!J22),"",PriceData!J22)</f>
        <v/>
      </c>
      <c r="K24" s="1" t="str">
        <f>IF(ISBLANK(PriceData!K22),"",PriceData!K22)</f>
        <v/>
      </c>
      <c r="L24" s="1" t="str">
        <f>IF(ISBLANK(PriceData!L22),"",PriceData!L22)</f>
        <v/>
      </c>
      <c r="M24" s="1" t="str">
        <f>IF(ISBLANK(PriceData!M22),"",PriceData!M22)</f>
        <v/>
      </c>
      <c r="N24" s="1" t="str">
        <f>IF(ISBLANK(PriceData!N22),"",PriceData!N22)</f>
        <v/>
      </c>
      <c r="O24" s="1" t="str">
        <f>IF(ISBLANK(PriceData!O22),"",PriceData!O22)</f>
        <v/>
      </c>
      <c r="P24" s="1" t="str">
        <f>IF(ISBLANK(PriceData!P22),"",PriceData!P22)</f>
        <v/>
      </c>
      <c r="Q24" s="1" t="str">
        <f>IF(ISBLANK(PriceData!Q22),"",PriceData!Q22)</f>
        <v/>
      </c>
      <c r="R24" s="1" t="str">
        <f>IF(ISBLANK(PriceData!R22),"",PriceData!R22)</f>
        <v/>
      </c>
      <c r="S24" s="1" t="str">
        <f>IF(ISBLANK(PriceData!S22),"",PriceData!S22)</f>
        <v/>
      </c>
      <c r="T24" s="1" t="str">
        <f>IF(ISBLANK(PriceData!T22),"",PriceData!T22)</f>
        <v/>
      </c>
      <c r="U24" s="1" t="str">
        <f>IF(ISBLANK(PriceData!U22),"",PriceData!U22)</f>
        <v/>
      </c>
      <c r="V24" s="1" t="str">
        <f>IF(ISBLANK(PriceData!V22),"",PriceData!V22)</f>
        <v/>
      </c>
      <c r="W24" s="1" t="str">
        <f>IF(ISBLANK(PriceData!W22),"",PriceData!W22)</f>
        <v/>
      </c>
      <c r="X24" s="1" t="str">
        <f>IF(ISBLANK(PriceData!X22),"",PriceData!X22)</f>
        <v/>
      </c>
      <c r="Y24" s="1" t="str">
        <f>IF(ISBLANK(PriceData!Y22),"",PriceData!Y22)</f>
        <v/>
      </c>
      <c r="Z24" s="1" t="str">
        <f>IF(ISBLANK(PriceData!Z22),"",PriceData!Z22)</f>
        <v/>
      </c>
      <c r="AA24" s="1" t="str">
        <f>IF(ISBLANK(PriceData!AA22),"",PriceData!AA22)</f>
        <v/>
      </c>
      <c r="AB24" s="1" t="str">
        <f>IF(ISBLANK(PriceData!AB22),"",PriceData!AB22)</f>
        <v/>
      </c>
      <c r="AC24" s="1" t="str">
        <f>IF(ISBLANK(PriceData!AC22),"",PriceData!AC22)</f>
        <v/>
      </c>
      <c r="AD24" s="1" t="str">
        <f>IF(ISBLANK(PriceData!AD22),"",PriceData!AD22)</f>
        <v/>
      </c>
      <c r="AE24" s="1" t="str">
        <f>IF(ISBLANK(PriceData!AE22),"",PriceData!AE22)</f>
        <v/>
      </c>
      <c r="AF24" s="1" t="str">
        <f>IF(ISBLANK(PriceData!AF22),"",PriceData!AF22)</f>
        <v/>
      </c>
      <c r="AG24" s="1" t="str">
        <f>IF(ISBLANK(PriceData!AG22),"",PriceData!AG22)</f>
        <v/>
      </c>
      <c r="AH24" s="1" t="str">
        <f>IF(ISBLANK(PriceData!AH22),"",PriceData!AH22)</f>
        <v/>
      </c>
      <c r="AI24" s="1" t="str">
        <f>IF(ISBLANK(PriceData!AI22),"",PriceData!AI22)</f>
        <v/>
      </c>
      <c r="AJ24" s="1" t="str">
        <f>IF(ISBLANK(PriceData!AJ22),"",PriceData!AJ22)</f>
        <v/>
      </c>
      <c r="AK24" s="1" t="str">
        <f>IF(ISBLANK(PriceData!AK22),"",PriceData!AK22)</f>
        <v/>
      </c>
      <c r="AL24" s="1" t="str">
        <f>IF(ISBLANK(PriceData!AL22),"",PriceData!AL22)</f>
        <v/>
      </c>
      <c r="AM24" s="1" t="str">
        <f>IF(ISBLANK(PriceData!AM22),"",PriceData!AM22)</f>
        <v/>
      </c>
      <c r="AN24" s="1" t="str">
        <f>IF(ISBLANK(PriceData!AN22),"",PriceData!AN22)</f>
        <v/>
      </c>
      <c r="AO24" s="1" t="str">
        <f>IF(ISBLANK(PriceData!AO22),"",PriceData!AO22)</f>
        <v/>
      </c>
      <c r="AP24" s="1" t="str">
        <f>IF(ISBLANK(PriceData!AP22),"",PriceData!AP22)</f>
        <v/>
      </c>
      <c r="AQ24" s="1" t="str">
        <f>IF(ISBLANK(PriceData!AQ22),"",PriceData!AQ22)</f>
        <v/>
      </c>
      <c r="AR24" s="1" t="str">
        <f>IF(ISBLANK(PriceData!AR22),"",PriceData!AR22)</f>
        <v/>
      </c>
      <c r="AS24" s="1" t="str">
        <f>IF(ISBLANK(PriceData!AS22),"",PriceData!AS22)</f>
        <v/>
      </c>
      <c r="AT24" s="1" t="str">
        <f>IF(ISBLANK(PriceData!AT22),"",PriceData!AT22)</f>
        <v/>
      </c>
      <c r="AU24" s="1" t="str">
        <f>IF(ISBLANK(PriceData!AU22),"",PriceData!AU22)</f>
        <v/>
      </c>
      <c r="AV24" s="1" t="str">
        <f>IF(ISBLANK(PriceData!AV22),"",PriceData!AV22)</f>
        <v/>
      </c>
      <c r="AW24" s="1" t="str">
        <f>IF(ISBLANK(PriceData!AW22),"",PriceData!AW22)</f>
        <v/>
      </c>
      <c r="AX24" s="1" t="str">
        <f>IF(ISBLANK(PriceData!AX22),"",PriceData!AX22)</f>
        <v/>
      </c>
      <c r="AY24" s="1" t="str">
        <f>IF(ISBLANK(PriceData!AY22),"",PriceData!AY22)</f>
        <v/>
      </c>
      <c r="AZ24" s="1" t="str">
        <f>IF(ISBLANK(PriceData!AZ22),"",PriceData!AZ22)</f>
        <v/>
      </c>
      <c r="BA24" s="1" t="str">
        <f>IF(ISBLANK(PriceData!BA22),"",PriceData!BA22)</f>
        <v/>
      </c>
      <c r="BB24" s="1" t="str">
        <f>IF(ISBLANK(PriceData!BB22),"",PriceData!BB22)</f>
        <v/>
      </c>
      <c r="BC24" s="1" t="str">
        <f>IF(ISBLANK(PriceData!BC22),"",PriceData!BC22)</f>
        <v/>
      </c>
      <c r="BD24" s="1" t="str">
        <f>IF(ISBLANK(PriceData!BD22),"",PriceData!BD22)</f>
        <v/>
      </c>
      <c r="BE24" s="1" t="str">
        <f>IF(ISBLANK(PriceData!BE22),"",PriceData!BE22)</f>
        <v/>
      </c>
      <c r="BF24" s="1" t="str">
        <f>IF(ISBLANK(PriceData!BF22),"",PriceData!BF22)</f>
        <v/>
      </c>
      <c r="BG24" s="1" t="str">
        <f>IF(ISBLANK(PriceData!BG22),"",PriceData!BG22)</f>
        <v/>
      </c>
      <c r="BH24" s="1" t="str">
        <f>IF(ISBLANK(PriceData!BH22),"",PriceData!BH22)</f>
        <v/>
      </c>
      <c r="BI24" s="1" t="str">
        <f>IF(ISBLANK(PriceData!BI22),"",PriceData!BI22)</f>
        <v/>
      </c>
      <c r="BJ24" s="1" t="str">
        <f>IF(ISBLANK(PriceData!BJ22),"",PriceData!BJ22)</f>
        <v/>
      </c>
      <c r="BK24" s="1" t="str">
        <f>IF(ISBLANK(PriceData!BK22),"",PriceData!BK22)</f>
        <v/>
      </c>
      <c r="BL24" s="1" t="str">
        <f>IF(ISBLANK(PriceData!BL22),"",PriceData!BL22)</f>
        <v/>
      </c>
      <c r="BM24" s="1" t="str">
        <f>IF(ISBLANK(PriceData!BM22),"",PriceData!BM22)</f>
        <v/>
      </c>
      <c r="BN24" s="1" t="str">
        <f>IF(ISBLANK(PriceData!BN22),"",PriceData!BN22)</f>
        <v/>
      </c>
      <c r="BO24" s="1" t="str">
        <f>IF(ISBLANK(PriceData!BO22),"",PriceData!BO22)</f>
        <v/>
      </c>
      <c r="BP24" s="1" t="str">
        <f>IF(ISBLANK(PriceData!BP22),"",PriceData!BP22)</f>
        <v/>
      </c>
      <c r="BQ24" s="1" t="str">
        <f>IF(ISBLANK(PriceData!BQ22),"",PriceData!BQ22)</f>
        <v/>
      </c>
      <c r="BR24" s="1" t="str">
        <f>IF(ISBLANK(PriceData!BR22),"",PriceData!BR22)</f>
        <v/>
      </c>
      <c r="BS24" s="1" t="str">
        <f>IF(ISBLANK(PriceData!BS22),"",PriceData!BS22)</f>
        <v/>
      </c>
      <c r="BT24" s="1" t="str">
        <f>IF(ISBLANK(PriceData!BT22),"",PriceData!BT22)</f>
        <v/>
      </c>
      <c r="BU24" s="1" t="str">
        <f>IF(ISBLANK(PriceData!BU22),"",PriceData!BU22)</f>
        <v/>
      </c>
      <c r="BV24" s="1" t="str">
        <f>IF(ISBLANK(PriceData!BV22),"",PriceData!BV22)</f>
        <v/>
      </c>
      <c r="BW24" s="1" t="str">
        <f>IF(ISBLANK(PriceData!BW22),"",PriceData!BW22)</f>
        <v/>
      </c>
      <c r="BX24" s="1" t="str">
        <f>IF(ISBLANK(PriceData!BX22),"",PriceData!BX22)</f>
        <v/>
      </c>
      <c r="BY24" s="1" t="str">
        <f>IF(ISBLANK(PriceData!BY22),"",PriceData!BY22)</f>
        <v/>
      </c>
      <c r="BZ24" s="1" t="str">
        <f>IF(ISBLANK(PriceData!BZ22),"",PriceData!BZ22)</f>
        <v/>
      </c>
      <c r="CA24" s="1" t="str">
        <f>IF(ISBLANK(PriceData!CA22),"",PriceData!CA22)</f>
        <v/>
      </c>
      <c r="CB24" s="1" t="str">
        <f>IF(ISBLANK(PriceData!CB22),"",PriceData!CB22)</f>
        <v/>
      </c>
      <c r="CC24" s="1" t="str">
        <f>IF(ISBLANK(PriceData!CC22),"",PriceData!CC22)</f>
        <v/>
      </c>
      <c r="CD24" s="1" t="str">
        <f>IF(ISBLANK(PriceData!CD22),"",PriceData!CD22)</f>
        <v/>
      </c>
      <c r="CE24" s="1" t="str">
        <f>IF(ISBLANK(PriceData!CE22),"",PriceData!CE22)</f>
        <v/>
      </c>
      <c r="CF24" s="1" t="str">
        <f>IF(ISBLANK(PriceData!CF22),"",PriceData!CF22)</f>
        <v/>
      </c>
      <c r="CG24" s="1" t="str">
        <f>IF(ISBLANK(PriceData!CG22),"",PriceData!CG22)</f>
        <v/>
      </c>
      <c r="CH24" s="1" t="str">
        <f>IF(ISBLANK(PriceData!CH22),"",PriceData!CH22)</f>
        <v/>
      </c>
      <c r="CI24" s="1" t="str">
        <f>IF(ISBLANK(PriceData!CI22),"",PriceData!CI22)</f>
        <v/>
      </c>
      <c r="CJ24" s="1" t="str">
        <f>IF(ISBLANK(PriceData!CJ22),"",PriceData!CJ22)</f>
        <v/>
      </c>
      <c r="CK24" s="1" t="str">
        <f>IF(ISBLANK(PriceData!CK22),"",PriceData!CK22)</f>
        <v/>
      </c>
      <c r="CL24" s="1" t="str">
        <f>IF(ISBLANK(PriceData!CL22),"",PriceData!CL22)</f>
        <v/>
      </c>
      <c r="CM24" s="1" t="str">
        <f>IF(ISBLANK(PriceData!CM22),"",PriceData!CM22)</f>
        <v/>
      </c>
      <c r="CN24" s="1" t="str">
        <f>IF(ISBLANK(PriceData!CN22),"",PriceData!CN22)</f>
        <v/>
      </c>
    </row>
    <row r="25" spans="2:92" x14ac:dyDescent="0.25">
      <c r="B25" s="1" t="str">
        <f>IF(ISBLANK(PriceData!A23),"",PriceData!A23)</f>
        <v/>
      </c>
      <c r="C25" s="1" t="str">
        <f>IF(ISBLANK(PriceData!C23),"",PriceData!C23)</f>
        <v/>
      </c>
      <c r="D25" s="1" t="str">
        <f>IF(ISBLANK(PriceData!D23),"",PriceData!D23)</f>
        <v/>
      </c>
      <c r="E25" s="1" t="str">
        <f>IF(ISBLANK(PriceData!E23),"",PriceData!E23)</f>
        <v/>
      </c>
      <c r="F25" s="1" t="str">
        <f>IF(ISBLANK(PriceData!F23),"",PriceData!F23)</f>
        <v/>
      </c>
      <c r="G25" s="1" t="str">
        <f>IF(ISBLANK(PriceData!G23),"",PriceData!G23)</f>
        <v/>
      </c>
      <c r="H25" s="1" t="str">
        <f>IF(ISBLANK(PriceData!H23),"",PriceData!H23)</f>
        <v/>
      </c>
      <c r="I25" s="1" t="str">
        <f>IF(ISBLANK(PriceData!I23),"",PriceData!I23)</f>
        <v/>
      </c>
      <c r="J25" s="1" t="str">
        <f>IF(ISBLANK(PriceData!J23),"",PriceData!J23)</f>
        <v/>
      </c>
      <c r="K25" s="1" t="str">
        <f>IF(ISBLANK(PriceData!K23),"",PriceData!K23)</f>
        <v/>
      </c>
      <c r="L25" s="1" t="str">
        <f>IF(ISBLANK(PriceData!L23),"",PriceData!L23)</f>
        <v/>
      </c>
      <c r="M25" s="1" t="str">
        <f>IF(ISBLANK(PriceData!M23),"",PriceData!M23)</f>
        <v/>
      </c>
      <c r="N25" s="1" t="str">
        <f>IF(ISBLANK(PriceData!N23),"",PriceData!N23)</f>
        <v/>
      </c>
      <c r="O25" s="1" t="str">
        <f>IF(ISBLANK(PriceData!O23),"",PriceData!O23)</f>
        <v/>
      </c>
      <c r="P25" s="1" t="str">
        <f>IF(ISBLANK(PriceData!P23),"",PriceData!P23)</f>
        <v/>
      </c>
      <c r="Q25" s="1" t="str">
        <f>IF(ISBLANK(PriceData!Q23),"",PriceData!Q23)</f>
        <v/>
      </c>
      <c r="R25" s="1" t="str">
        <f>IF(ISBLANK(PriceData!R23),"",PriceData!R23)</f>
        <v/>
      </c>
      <c r="S25" s="1" t="str">
        <f>IF(ISBLANK(PriceData!S23),"",PriceData!S23)</f>
        <v/>
      </c>
      <c r="T25" s="1" t="str">
        <f>IF(ISBLANK(PriceData!T23),"",PriceData!T23)</f>
        <v/>
      </c>
      <c r="U25" s="1" t="str">
        <f>IF(ISBLANK(PriceData!U23),"",PriceData!U23)</f>
        <v/>
      </c>
      <c r="V25" s="1" t="str">
        <f>IF(ISBLANK(PriceData!V23),"",PriceData!V23)</f>
        <v/>
      </c>
      <c r="W25" s="1" t="str">
        <f>IF(ISBLANK(PriceData!W23),"",PriceData!W23)</f>
        <v/>
      </c>
      <c r="X25" s="1" t="str">
        <f>IF(ISBLANK(PriceData!X23),"",PriceData!X23)</f>
        <v/>
      </c>
      <c r="Y25" s="1" t="str">
        <f>IF(ISBLANK(PriceData!Y23),"",PriceData!Y23)</f>
        <v/>
      </c>
      <c r="Z25" s="1" t="str">
        <f>IF(ISBLANK(PriceData!Z23),"",PriceData!Z23)</f>
        <v/>
      </c>
      <c r="AA25" s="1" t="str">
        <f>IF(ISBLANK(PriceData!AA23),"",PriceData!AA23)</f>
        <v/>
      </c>
      <c r="AB25" s="1" t="str">
        <f>IF(ISBLANK(PriceData!AB23),"",PriceData!AB23)</f>
        <v/>
      </c>
      <c r="AC25" s="1" t="str">
        <f>IF(ISBLANK(PriceData!AC23),"",PriceData!AC23)</f>
        <v/>
      </c>
      <c r="AD25" s="1" t="str">
        <f>IF(ISBLANK(PriceData!AD23),"",PriceData!AD23)</f>
        <v/>
      </c>
      <c r="AE25" s="1" t="str">
        <f>IF(ISBLANK(PriceData!AE23),"",PriceData!AE23)</f>
        <v/>
      </c>
      <c r="AF25" s="1" t="str">
        <f>IF(ISBLANK(PriceData!AF23),"",PriceData!AF23)</f>
        <v/>
      </c>
      <c r="AG25" s="1" t="str">
        <f>IF(ISBLANK(PriceData!AG23),"",PriceData!AG23)</f>
        <v/>
      </c>
      <c r="AH25" s="1" t="str">
        <f>IF(ISBLANK(PriceData!AH23),"",PriceData!AH23)</f>
        <v/>
      </c>
      <c r="AI25" s="1" t="str">
        <f>IF(ISBLANK(PriceData!AI23),"",PriceData!AI23)</f>
        <v/>
      </c>
      <c r="AJ25" s="1" t="str">
        <f>IF(ISBLANK(PriceData!AJ23),"",PriceData!AJ23)</f>
        <v/>
      </c>
      <c r="AK25" s="1" t="str">
        <f>IF(ISBLANK(PriceData!AK23),"",PriceData!AK23)</f>
        <v/>
      </c>
      <c r="AL25" s="1" t="str">
        <f>IF(ISBLANK(PriceData!AL23),"",PriceData!AL23)</f>
        <v/>
      </c>
      <c r="AM25" s="1" t="str">
        <f>IF(ISBLANK(PriceData!AM23),"",PriceData!AM23)</f>
        <v/>
      </c>
      <c r="AN25" s="1" t="str">
        <f>IF(ISBLANK(PriceData!AN23),"",PriceData!AN23)</f>
        <v/>
      </c>
      <c r="AO25" s="1" t="str">
        <f>IF(ISBLANK(PriceData!AO23),"",PriceData!AO23)</f>
        <v/>
      </c>
      <c r="AP25" s="1" t="str">
        <f>IF(ISBLANK(PriceData!AP23),"",PriceData!AP23)</f>
        <v/>
      </c>
      <c r="AQ25" s="1" t="str">
        <f>IF(ISBLANK(PriceData!AQ23),"",PriceData!AQ23)</f>
        <v/>
      </c>
      <c r="AR25" s="1" t="str">
        <f>IF(ISBLANK(PriceData!AR23),"",PriceData!AR23)</f>
        <v/>
      </c>
      <c r="AS25" s="1" t="str">
        <f>IF(ISBLANK(PriceData!AS23),"",PriceData!AS23)</f>
        <v/>
      </c>
      <c r="AT25" s="1" t="str">
        <f>IF(ISBLANK(PriceData!AT23),"",PriceData!AT23)</f>
        <v/>
      </c>
      <c r="AU25" s="1" t="str">
        <f>IF(ISBLANK(PriceData!AU23),"",PriceData!AU23)</f>
        <v/>
      </c>
      <c r="AV25" s="1" t="str">
        <f>IF(ISBLANK(PriceData!AV23),"",PriceData!AV23)</f>
        <v/>
      </c>
      <c r="AW25" s="1" t="str">
        <f>IF(ISBLANK(PriceData!AW23),"",PriceData!AW23)</f>
        <v/>
      </c>
      <c r="AX25" s="1" t="str">
        <f>IF(ISBLANK(PriceData!AX23),"",PriceData!AX23)</f>
        <v/>
      </c>
      <c r="AY25" s="1" t="str">
        <f>IF(ISBLANK(PriceData!AY23),"",PriceData!AY23)</f>
        <v/>
      </c>
      <c r="AZ25" s="1" t="str">
        <f>IF(ISBLANK(PriceData!AZ23),"",PriceData!AZ23)</f>
        <v/>
      </c>
      <c r="BA25" s="1" t="str">
        <f>IF(ISBLANK(PriceData!BA23),"",PriceData!BA23)</f>
        <v/>
      </c>
      <c r="BB25" s="1" t="str">
        <f>IF(ISBLANK(PriceData!BB23),"",PriceData!BB23)</f>
        <v/>
      </c>
      <c r="BC25" s="1" t="str">
        <f>IF(ISBLANK(PriceData!BC23),"",PriceData!BC23)</f>
        <v/>
      </c>
      <c r="BD25" s="1" t="str">
        <f>IF(ISBLANK(PriceData!BD23),"",PriceData!BD23)</f>
        <v/>
      </c>
      <c r="BE25" s="1" t="str">
        <f>IF(ISBLANK(PriceData!BE23),"",PriceData!BE23)</f>
        <v/>
      </c>
      <c r="BF25" s="1" t="str">
        <f>IF(ISBLANK(PriceData!BF23),"",PriceData!BF23)</f>
        <v/>
      </c>
      <c r="BG25" s="1" t="str">
        <f>IF(ISBLANK(PriceData!BG23),"",PriceData!BG23)</f>
        <v/>
      </c>
      <c r="BH25" s="1" t="str">
        <f>IF(ISBLANK(PriceData!BH23),"",PriceData!BH23)</f>
        <v/>
      </c>
      <c r="BI25" s="1" t="str">
        <f>IF(ISBLANK(PriceData!BI23),"",PriceData!BI23)</f>
        <v/>
      </c>
      <c r="BJ25" s="1" t="str">
        <f>IF(ISBLANK(PriceData!BJ23),"",PriceData!BJ23)</f>
        <v/>
      </c>
      <c r="BK25" s="1" t="str">
        <f>IF(ISBLANK(PriceData!BK23),"",PriceData!BK23)</f>
        <v/>
      </c>
      <c r="BL25" s="1" t="str">
        <f>IF(ISBLANK(PriceData!BL23),"",PriceData!BL23)</f>
        <v/>
      </c>
      <c r="BM25" s="1" t="str">
        <f>IF(ISBLANK(PriceData!BM23),"",PriceData!BM23)</f>
        <v/>
      </c>
      <c r="BN25" s="1" t="str">
        <f>IF(ISBLANK(PriceData!BN23),"",PriceData!BN23)</f>
        <v/>
      </c>
      <c r="BO25" s="1" t="str">
        <f>IF(ISBLANK(PriceData!BO23),"",PriceData!BO23)</f>
        <v/>
      </c>
      <c r="BP25" s="1" t="str">
        <f>IF(ISBLANK(PriceData!BP23),"",PriceData!BP23)</f>
        <v/>
      </c>
      <c r="BQ25" s="1" t="str">
        <f>IF(ISBLANK(PriceData!BQ23),"",PriceData!BQ23)</f>
        <v/>
      </c>
      <c r="BR25" s="1" t="str">
        <f>IF(ISBLANK(PriceData!BR23),"",PriceData!BR23)</f>
        <v/>
      </c>
      <c r="BS25" s="1" t="str">
        <f>IF(ISBLANK(PriceData!BS23),"",PriceData!BS23)</f>
        <v/>
      </c>
      <c r="BT25" s="1" t="str">
        <f>IF(ISBLANK(PriceData!BT23),"",PriceData!BT23)</f>
        <v/>
      </c>
      <c r="BU25" s="1" t="str">
        <f>IF(ISBLANK(PriceData!BU23),"",PriceData!BU23)</f>
        <v/>
      </c>
      <c r="BV25" s="1" t="str">
        <f>IF(ISBLANK(PriceData!BV23),"",PriceData!BV23)</f>
        <v/>
      </c>
      <c r="BW25" s="1" t="str">
        <f>IF(ISBLANK(PriceData!BW23),"",PriceData!BW23)</f>
        <v/>
      </c>
      <c r="BX25" s="1" t="str">
        <f>IF(ISBLANK(PriceData!BX23),"",PriceData!BX23)</f>
        <v/>
      </c>
      <c r="BY25" s="1" t="str">
        <f>IF(ISBLANK(PriceData!BY23),"",PriceData!BY23)</f>
        <v/>
      </c>
      <c r="BZ25" s="1" t="str">
        <f>IF(ISBLANK(PriceData!BZ23),"",PriceData!BZ23)</f>
        <v/>
      </c>
      <c r="CA25" s="1" t="str">
        <f>IF(ISBLANK(PriceData!CA23),"",PriceData!CA23)</f>
        <v/>
      </c>
      <c r="CB25" s="1" t="str">
        <f>IF(ISBLANK(PriceData!CB23),"",PriceData!CB23)</f>
        <v/>
      </c>
      <c r="CC25" s="1" t="str">
        <f>IF(ISBLANK(PriceData!CC23),"",PriceData!CC23)</f>
        <v/>
      </c>
      <c r="CD25" s="1" t="str">
        <f>IF(ISBLANK(PriceData!CD23),"",PriceData!CD23)</f>
        <v/>
      </c>
      <c r="CE25" s="1" t="str">
        <f>IF(ISBLANK(PriceData!CE23),"",PriceData!CE23)</f>
        <v/>
      </c>
      <c r="CF25" s="1" t="str">
        <f>IF(ISBLANK(PriceData!CF23),"",PriceData!CF23)</f>
        <v/>
      </c>
      <c r="CG25" s="1" t="str">
        <f>IF(ISBLANK(PriceData!CG23),"",PriceData!CG23)</f>
        <v/>
      </c>
      <c r="CH25" s="1" t="str">
        <f>IF(ISBLANK(PriceData!CH23),"",PriceData!CH23)</f>
        <v/>
      </c>
      <c r="CI25" s="1" t="str">
        <f>IF(ISBLANK(PriceData!CI23),"",PriceData!CI23)</f>
        <v/>
      </c>
      <c r="CJ25" s="1" t="str">
        <f>IF(ISBLANK(PriceData!CJ23),"",PriceData!CJ23)</f>
        <v/>
      </c>
      <c r="CK25" s="1" t="str">
        <f>IF(ISBLANK(PriceData!CK23),"",PriceData!CK23)</f>
        <v/>
      </c>
      <c r="CL25" s="1" t="str">
        <f>IF(ISBLANK(PriceData!CL23),"",PriceData!CL23)</f>
        <v/>
      </c>
      <c r="CM25" s="1" t="str">
        <f>IF(ISBLANK(PriceData!CM23),"",PriceData!CM23)</f>
        <v/>
      </c>
      <c r="CN25" s="1" t="str">
        <f>IF(ISBLANK(PriceData!CN23),"",PriceData!CN23)</f>
        <v/>
      </c>
    </row>
    <row r="26" spans="2:92" x14ac:dyDescent="0.25">
      <c r="B26" s="1" t="str">
        <f>IF(ISBLANK(PriceData!A24),"",PriceData!A24)</f>
        <v/>
      </c>
      <c r="C26" s="1" t="str">
        <f>IF(ISBLANK(PriceData!C24),"",PriceData!C24)</f>
        <v/>
      </c>
      <c r="D26" s="1" t="str">
        <f>IF(ISBLANK(PriceData!D24),"",PriceData!D24)</f>
        <v/>
      </c>
      <c r="E26" s="1" t="str">
        <f>IF(ISBLANK(PriceData!E24),"",PriceData!E24)</f>
        <v/>
      </c>
      <c r="F26" s="1" t="str">
        <f>IF(ISBLANK(PriceData!F24),"",PriceData!F24)</f>
        <v/>
      </c>
      <c r="G26" s="1" t="str">
        <f>IF(ISBLANK(PriceData!G24),"",PriceData!G24)</f>
        <v/>
      </c>
      <c r="H26" s="1" t="str">
        <f>IF(ISBLANK(PriceData!H24),"",PriceData!H24)</f>
        <v/>
      </c>
      <c r="I26" s="1" t="str">
        <f>IF(ISBLANK(PriceData!I24),"",PriceData!I24)</f>
        <v/>
      </c>
      <c r="J26" s="1" t="str">
        <f>IF(ISBLANK(PriceData!J24),"",PriceData!J24)</f>
        <v/>
      </c>
      <c r="K26" s="1" t="str">
        <f>IF(ISBLANK(PriceData!K24),"",PriceData!K24)</f>
        <v/>
      </c>
      <c r="L26" s="1" t="str">
        <f>IF(ISBLANK(PriceData!L24),"",PriceData!L24)</f>
        <v/>
      </c>
      <c r="M26" s="1" t="str">
        <f>IF(ISBLANK(PriceData!M24),"",PriceData!M24)</f>
        <v/>
      </c>
      <c r="N26" s="1" t="str">
        <f>IF(ISBLANK(PriceData!N24),"",PriceData!N24)</f>
        <v/>
      </c>
      <c r="O26" s="1" t="str">
        <f>IF(ISBLANK(PriceData!O24),"",PriceData!O24)</f>
        <v/>
      </c>
      <c r="P26" s="1" t="str">
        <f>IF(ISBLANK(PriceData!P24),"",PriceData!P24)</f>
        <v/>
      </c>
      <c r="Q26" s="1" t="str">
        <f>IF(ISBLANK(PriceData!Q24),"",PriceData!Q24)</f>
        <v/>
      </c>
      <c r="R26" s="1" t="str">
        <f>IF(ISBLANK(PriceData!R24),"",PriceData!R24)</f>
        <v/>
      </c>
      <c r="S26" s="1" t="str">
        <f>IF(ISBLANK(PriceData!S24),"",PriceData!S24)</f>
        <v/>
      </c>
      <c r="T26" s="1" t="str">
        <f>IF(ISBLANK(PriceData!T24),"",PriceData!T24)</f>
        <v/>
      </c>
      <c r="U26" s="1" t="str">
        <f>IF(ISBLANK(PriceData!U24),"",PriceData!U24)</f>
        <v/>
      </c>
      <c r="V26" s="1" t="str">
        <f>IF(ISBLANK(PriceData!V24),"",PriceData!V24)</f>
        <v/>
      </c>
      <c r="W26" s="1" t="str">
        <f>IF(ISBLANK(PriceData!W24),"",PriceData!W24)</f>
        <v/>
      </c>
      <c r="X26" s="1" t="str">
        <f>IF(ISBLANK(PriceData!X24),"",PriceData!X24)</f>
        <v/>
      </c>
      <c r="Y26" s="1" t="str">
        <f>IF(ISBLANK(PriceData!Y24),"",PriceData!Y24)</f>
        <v/>
      </c>
      <c r="Z26" s="1" t="str">
        <f>IF(ISBLANK(PriceData!Z24),"",PriceData!Z24)</f>
        <v/>
      </c>
      <c r="AA26" s="1" t="str">
        <f>IF(ISBLANK(PriceData!AA24),"",PriceData!AA24)</f>
        <v/>
      </c>
      <c r="AB26" s="1" t="str">
        <f>IF(ISBLANK(PriceData!AB24),"",PriceData!AB24)</f>
        <v/>
      </c>
      <c r="AC26" s="1" t="str">
        <f>IF(ISBLANK(PriceData!AC24),"",PriceData!AC24)</f>
        <v/>
      </c>
      <c r="AD26" s="1" t="str">
        <f>IF(ISBLANK(PriceData!AD24),"",PriceData!AD24)</f>
        <v/>
      </c>
      <c r="AE26" s="1" t="str">
        <f>IF(ISBLANK(PriceData!AE24),"",PriceData!AE24)</f>
        <v/>
      </c>
      <c r="AF26" s="1" t="str">
        <f>IF(ISBLANK(PriceData!AF24),"",PriceData!AF24)</f>
        <v/>
      </c>
      <c r="AG26" s="1" t="str">
        <f>IF(ISBLANK(PriceData!AG24),"",PriceData!AG24)</f>
        <v/>
      </c>
      <c r="AH26" s="1" t="str">
        <f>IF(ISBLANK(PriceData!AH24),"",PriceData!AH24)</f>
        <v/>
      </c>
      <c r="AI26" s="1" t="str">
        <f>IF(ISBLANK(PriceData!AI24),"",PriceData!AI24)</f>
        <v/>
      </c>
      <c r="AJ26" s="1" t="str">
        <f>IF(ISBLANK(PriceData!AJ24),"",PriceData!AJ24)</f>
        <v/>
      </c>
      <c r="AK26" s="1" t="str">
        <f>IF(ISBLANK(PriceData!AK24),"",PriceData!AK24)</f>
        <v/>
      </c>
      <c r="AL26" s="1" t="str">
        <f>IF(ISBLANK(PriceData!AL24),"",PriceData!AL24)</f>
        <v/>
      </c>
      <c r="AM26" s="1" t="str">
        <f>IF(ISBLANK(PriceData!AM24),"",PriceData!AM24)</f>
        <v/>
      </c>
      <c r="AN26" s="1" t="str">
        <f>IF(ISBLANK(PriceData!AN24),"",PriceData!AN24)</f>
        <v/>
      </c>
      <c r="AO26" s="1" t="str">
        <f>IF(ISBLANK(PriceData!AO24),"",PriceData!AO24)</f>
        <v/>
      </c>
      <c r="AP26" s="1" t="str">
        <f>IF(ISBLANK(PriceData!AP24),"",PriceData!AP24)</f>
        <v/>
      </c>
      <c r="AQ26" s="1" t="str">
        <f>IF(ISBLANK(PriceData!AQ24),"",PriceData!AQ24)</f>
        <v/>
      </c>
      <c r="AR26" s="1" t="str">
        <f>IF(ISBLANK(PriceData!AR24),"",PriceData!AR24)</f>
        <v/>
      </c>
      <c r="AS26" s="1" t="str">
        <f>IF(ISBLANK(PriceData!AS24),"",PriceData!AS24)</f>
        <v/>
      </c>
      <c r="AT26" s="1" t="str">
        <f>IF(ISBLANK(PriceData!AT24),"",PriceData!AT24)</f>
        <v/>
      </c>
      <c r="AU26" s="1" t="str">
        <f>IF(ISBLANK(PriceData!AU24),"",PriceData!AU24)</f>
        <v/>
      </c>
      <c r="AV26" s="1" t="str">
        <f>IF(ISBLANK(PriceData!AV24),"",PriceData!AV24)</f>
        <v/>
      </c>
      <c r="AW26" s="1" t="str">
        <f>IF(ISBLANK(PriceData!AW24),"",PriceData!AW24)</f>
        <v/>
      </c>
      <c r="AX26" s="1" t="str">
        <f>IF(ISBLANK(PriceData!AX24),"",PriceData!AX24)</f>
        <v/>
      </c>
      <c r="AY26" s="1" t="str">
        <f>IF(ISBLANK(PriceData!AY24),"",PriceData!AY24)</f>
        <v/>
      </c>
      <c r="AZ26" s="1" t="str">
        <f>IF(ISBLANK(PriceData!AZ24),"",PriceData!AZ24)</f>
        <v/>
      </c>
      <c r="BA26" s="1" t="str">
        <f>IF(ISBLANK(PriceData!BA24),"",PriceData!BA24)</f>
        <v/>
      </c>
      <c r="BB26" s="1" t="str">
        <f>IF(ISBLANK(PriceData!BB24),"",PriceData!BB24)</f>
        <v/>
      </c>
      <c r="BC26" s="1" t="str">
        <f>IF(ISBLANK(PriceData!BC24),"",PriceData!BC24)</f>
        <v/>
      </c>
      <c r="BD26" s="1" t="str">
        <f>IF(ISBLANK(PriceData!BD24),"",PriceData!BD24)</f>
        <v/>
      </c>
      <c r="BE26" s="1" t="str">
        <f>IF(ISBLANK(PriceData!BE24),"",PriceData!BE24)</f>
        <v/>
      </c>
      <c r="BF26" s="1" t="str">
        <f>IF(ISBLANK(PriceData!BF24),"",PriceData!BF24)</f>
        <v/>
      </c>
      <c r="BG26" s="1" t="str">
        <f>IF(ISBLANK(PriceData!BG24),"",PriceData!BG24)</f>
        <v/>
      </c>
      <c r="BH26" s="1" t="str">
        <f>IF(ISBLANK(PriceData!BH24),"",PriceData!BH24)</f>
        <v/>
      </c>
      <c r="BI26" s="1" t="str">
        <f>IF(ISBLANK(PriceData!BI24),"",PriceData!BI24)</f>
        <v/>
      </c>
      <c r="BJ26" s="1" t="str">
        <f>IF(ISBLANK(PriceData!BJ24),"",PriceData!BJ24)</f>
        <v/>
      </c>
      <c r="BK26" s="1" t="str">
        <f>IF(ISBLANK(PriceData!BK24),"",PriceData!BK24)</f>
        <v/>
      </c>
      <c r="BL26" s="1" t="str">
        <f>IF(ISBLANK(PriceData!BL24),"",PriceData!BL24)</f>
        <v/>
      </c>
      <c r="BM26" s="1" t="str">
        <f>IF(ISBLANK(PriceData!BM24),"",PriceData!BM24)</f>
        <v/>
      </c>
      <c r="BN26" s="1" t="str">
        <f>IF(ISBLANK(PriceData!BN24),"",PriceData!BN24)</f>
        <v/>
      </c>
      <c r="BO26" s="1" t="str">
        <f>IF(ISBLANK(PriceData!BO24),"",PriceData!BO24)</f>
        <v/>
      </c>
      <c r="BP26" s="1" t="str">
        <f>IF(ISBLANK(PriceData!BP24),"",PriceData!BP24)</f>
        <v/>
      </c>
      <c r="BQ26" s="1" t="str">
        <f>IF(ISBLANK(PriceData!BQ24),"",PriceData!BQ24)</f>
        <v/>
      </c>
      <c r="BR26" s="1" t="str">
        <f>IF(ISBLANK(PriceData!BR24),"",PriceData!BR24)</f>
        <v/>
      </c>
      <c r="BS26" s="1" t="str">
        <f>IF(ISBLANK(PriceData!BS24),"",PriceData!BS24)</f>
        <v/>
      </c>
      <c r="BT26" s="1" t="str">
        <f>IF(ISBLANK(PriceData!BT24),"",PriceData!BT24)</f>
        <v/>
      </c>
      <c r="BU26" s="1" t="str">
        <f>IF(ISBLANK(PriceData!BU24),"",PriceData!BU24)</f>
        <v/>
      </c>
      <c r="BV26" s="1" t="str">
        <f>IF(ISBLANK(PriceData!BV24),"",PriceData!BV24)</f>
        <v/>
      </c>
      <c r="BW26" s="1" t="str">
        <f>IF(ISBLANK(PriceData!BW24),"",PriceData!BW24)</f>
        <v/>
      </c>
      <c r="BX26" s="1" t="str">
        <f>IF(ISBLANK(PriceData!BX24),"",PriceData!BX24)</f>
        <v/>
      </c>
      <c r="BY26" s="1" t="str">
        <f>IF(ISBLANK(PriceData!BY24),"",PriceData!BY24)</f>
        <v/>
      </c>
      <c r="BZ26" s="1" t="str">
        <f>IF(ISBLANK(PriceData!BZ24),"",PriceData!BZ24)</f>
        <v/>
      </c>
      <c r="CA26" s="1" t="str">
        <f>IF(ISBLANK(PriceData!CA24),"",PriceData!CA24)</f>
        <v/>
      </c>
      <c r="CB26" s="1" t="str">
        <f>IF(ISBLANK(PriceData!CB24),"",PriceData!CB24)</f>
        <v/>
      </c>
      <c r="CC26" s="1" t="str">
        <f>IF(ISBLANK(PriceData!CC24),"",PriceData!CC24)</f>
        <v/>
      </c>
      <c r="CD26" s="1" t="str">
        <f>IF(ISBLANK(PriceData!CD24),"",PriceData!CD24)</f>
        <v/>
      </c>
      <c r="CE26" s="1" t="str">
        <f>IF(ISBLANK(PriceData!CE24),"",PriceData!CE24)</f>
        <v/>
      </c>
      <c r="CF26" s="1" t="str">
        <f>IF(ISBLANK(PriceData!CF24),"",PriceData!CF24)</f>
        <v/>
      </c>
      <c r="CG26" s="1" t="str">
        <f>IF(ISBLANK(PriceData!CG24),"",PriceData!CG24)</f>
        <v/>
      </c>
      <c r="CH26" s="1" t="str">
        <f>IF(ISBLANK(PriceData!CH24),"",PriceData!CH24)</f>
        <v/>
      </c>
      <c r="CI26" s="1" t="str">
        <f>IF(ISBLANK(PriceData!CI24),"",PriceData!CI24)</f>
        <v/>
      </c>
      <c r="CJ26" s="1" t="str">
        <f>IF(ISBLANK(PriceData!CJ24),"",PriceData!CJ24)</f>
        <v/>
      </c>
      <c r="CK26" s="1" t="str">
        <f>IF(ISBLANK(PriceData!CK24),"",PriceData!CK24)</f>
        <v/>
      </c>
      <c r="CL26" s="1" t="str">
        <f>IF(ISBLANK(PriceData!CL24),"",PriceData!CL24)</f>
        <v/>
      </c>
      <c r="CM26" s="1" t="str">
        <f>IF(ISBLANK(PriceData!CM24),"",PriceData!CM24)</f>
        <v/>
      </c>
      <c r="CN26" s="1" t="str">
        <f>IF(ISBLANK(PriceData!CN24),"",PriceData!CN24)</f>
        <v/>
      </c>
    </row>
    <row r="27" spans="2:92" x14ac:dyDescent="0.25">
      <c r="B27" s="1" t="str">
        <f>IF(ISBLANK(PriceData!A25),"",PriceData!A25)</f>
        <v/>
      </c>
      <c r="C27" s="1" t="str">
        <f>IF(ISBLANK(PriceData!C25),"",PriceData!C25)</f>
        <v/>
      </c>
      <c r="D27" s="1" t="str">
        <f>IF(ISBLANK(PriceData!D25),"",PriceData!D25)</f>
        <v/>
      </c>
      <c r="E27" s="1" t="str">
        <f>IF(ISBLANK(PriceData!E25),"",PriceData!E25)</f>
        <v/>
      </c>
      <c r="F27" s="1" t="str">
        <f>IF(ISBLANK(PriceData!F25),"",PriceData!F25)</f>
        <v/>
      </c>
      <c r="G27" s="1" t="str">
        <f>IF(ISBLANK(PriceData!G25),"",PriceData!G25)</f>
        <v/>
      </c>
      <c r="H27" s="1" t="str">
        <f>IF(ISBLANK(PriceData!H25),"",PriceData!H25)</f>
        <v/>
      </c>
      <c r="I27" s="1" t="str">
        <f>IF(ISBLANK(PriceData!I25),"",PriceData!I25)</f>
        <v/>
      </c>
      <c r="J27" s="1" t="str">
        <f>IF(ISBLANK(PriceData!J25),"",PriceData!J25)</f>
        <v/>
      </c>
      <c r="K27" s="1" t="str">
        <f>IF(ISBLANK(PriceData!K25),"",PriceData!K25)</f>
        <v/>
      </c>
      <c r="L27" s="1" t="str">
        <f>IF(ISBLANK(PriceData!L25),"",PriceData!L25)</f>
        <v/>
      </c>
      <c r="M27" s="1" t="str">
        <f>IF(ISBLANK(PriceData!M25),"",PriceData!M25)</f>
        <v/>
      </c>
      <c r="N27" s="1" t="str">
        <f>IF(ISBLANK(PriceData!N25),"",PriceData!N25)</f>
        <v/>
      </c>
      <c r="O27" s="1" t="str">
        <f>IF(ISBLANK(PriceData!O25),"",PriceData!O25)</f>
        <v/>
      </c>
      <c r="P27" s="1" t="str">
        <f>IF(ISBLANK(PriceData!P25),"",PriceData!P25)</f>
        <v/>
      </c>
      <c r="Q27" s="1" t="str">
        <f>IF(ISBLANK(PriceData!Q25),"",PriceData!Q25)</f>
        <v/>
      </c>
      <c r="R27" s="1" t="str">
        <f>IF(ISBLANK(PriceData!R25),"",PriceData!R25)</f>
        <v/>
      </c>
      <c r="S27" s="1" t="str">
        <f>IF(ISBLANK(PriceData!S25),"",PriceData!S25)</f>
        <v/>
      </c>
      <c r="T27" s="1" t="str">
        <f>IF(ISBLANK(PriceData!T25),"",PriceData!T25)</f>
        <v/>
      </c>
      <c r="U27" s="1" t="str">
        <f>IF(ISBLANK(PriceData!U25),"",PriceData!U25)</f>
        <v/>
      </c>
      <c r="V27" s="1" t="str">
        <f>IF(ISBLANK(PriceData!V25),"",PriceData!V25)</f>
        <v/>
      </c>
      <c r="W27" s="1" t="str">
        <f>IF(ISBLANK(PriceData!W25),"",PriceData!W25)</f>
        <v/>
      </c>
      <c r="X27" s="1" t="str">
        <f>IF(ISBLANK(PriceData!X25),"",PriceData!X25)</f>
        <v/>
      </c>
      <c r="Y27" s="1" t="str">
        <f>IF(ISBLANK(PriceData!Y25),"",PriceData!Y25)</f>
        <v/>
      </c>
      <c r="Z27" s="1" t="str">
        <f>IF(ISBLANK(PriceData!Z25),"",PriceData!Z25)</f>
        <v/>
      </c>
      <c r="AA27" s="1" t="str">
        <f>IF(ISBLANK(PriceData!AA25),"",PriceData!AA25)</f>
        <v/>
      </c>
      <c r="AB27" s="1" t="str">
        <f>IF(ISBLANK(PriceData!AB25),"",PriceData!AB25)</f>
        <v/>
      </c>
      <c r="AC27" s="1" t="str">
        <f>IF(ISBLANK(PriceData!AC25),"",PriceData!AC25)</f>
        <v/>
      </c>
      <c r="AD27" s="1" t="str">
        <f>IF(ISBLANK(PriceData!AD25),"",PriceData!AD25)</f>
        <v/>
      </c>
      <c r="AE27" s="1" t="str">
        <f>IF(ISBLANK(PriceData!AE25),"",PriceData!AE25)</f>
        <v/>
      </c>
      <c r="AF27" s="1" t="str">
        <f>IF(ISBLANK(PriceData!AF25),"",PriceData!AF25)</f>
        <v/>
      </c>
      <c r="AG27" s="1" t="str">
        <f>IF(ISBLANK(PriceData!AG25),"",PriceData!AG25)</f>
        <v/>
      </c>
      <c r="AH27" s="1" t="str">
        <f>IF(ISBLANK(PriceData!AH25),"",PriceData!AH25)</f>
        <v/>
      </c>
      <c r="AI27" s="1" t="str">
        <f>IF(ISBLANK(PriceData!AI25),"",PriceData!AI25)</f>
        <v/>
      </c>
      <c r="AJ27" s="1" t="str">
        <f>IF(ISBLANK(PriceData!AJ25),"",PriceData!AJ25)</f>
        <v/>
      </c>
      <c r="AK27" s="1" t="str">
        <f>IF(ISBLANK(PriceData!AK25),"",PriceData!AK25)</f>
        <v/>
      </c>
      <c r="AL27" s="1" t="str">
        <f>IF(ISBLANK(PriceData!AL25),"",PriceData!AL25)</f>
        <v/>
      </c>
      <c r="AM27" s="1" t="str">
        <f>IF(ISBLANK(PriceData!AM25),"",PriceData!AM25)</f>
        <v/>
      </c>
      <c r="AN27" s="1" t="str">
        <f>IF(ISBLANK(PriceData!AN25),"",PriceData!AN25)</f>
        <v/>
      </c>
      <c r="AO27" s="1" t="str">
        <f>IF(ISBLANK(PriceData!AO25),"",PriceData!AO25)</f>
        <v/>
      </c>
      <c r="AP27" s="1" t="str">
        <f>IF(ISBLANK(PriceData!AP25),"",PriceData!AP25)</f>
        <v/>
      </c>
      <c r="AQ27" s="1" t="str">
        <f>IF(ISBLANK(PriceData!AQ25),"",PriceData!AQ25)</f>
        <v/>
      </c>
      <c r="AR27" s="1" t="str">
        <f>IF(ISBLANK(PriceData!AR25),"",PriceData!AR25)</f>
        <v/>
      </c>
      <c r="AS27" s="1" t="str">
        <f>IF(ISBLANK(PriceData!AS25),"",PriceData!AS25)</f>
        <v/>
      </c>
      <c r="AT27" s="1" t="str">
        <f>IF(ISBLANK(PriceData!AT25),"",PriceData!AT25)</f>
        <v/>
      </c>
      <c r="AU27" s="1" t="str">
        <f>IF(ISBLANK(PriceData!AU25),"",PriceData!AU25)</f>
        <v/>
      </c>
      <c r="AV27" s="1" t="str">
        <f>IF(ISBLANK(PriceData!AV25),"",PriceData!AV25)</f>
        <v/>
      </c>
      <c r="AW27" s="1" t="str">
        <f>IF(ISBLANK(PriceData!AW25),"",PriceData!AW25)</f>
        <v/>
      </c>
      <c r="AX27" s="1" t="str">
        <f>IF(ISBLANK(PriceData!AX25),"",PriceData!AX25)</f>
        <v/>
      </c>
      <c r="AY27" s="1" t="str">
        <f>IF(ISBLANK(PriceData!AY25),"",PriceData!AY25)</f>
        <v/>
      </c>
      <c r="AZ27" s="1" t="str">
        <f>IF(ISBLANK(PriceData!AZ25),"",PriceData!AZ25)</f>
        <v/>
      </c>
      <c r="BA27" s="1" t="str">
        <f>IF(ISBLANK(PriceData!BA25),"",PriceData!BA25)</f>
        <v/>
      </c>
      <c r="BB27" s="1" t="str">
        <f>IF(ISBLANK(PriceData!BB25),"",PriceData!BB25)</f>
        <v/>
      </c>
      <c r="BC27" s="1" t="str">
        <f>IF(ISBLANK(PriceData!BC25),"",PriceData!BC25)</f>
        <v/>
      </c>
      <c r="BD27" s="1" t="str">
        <f>IF(ISBLANK(PriceData!BD25),"",PriceData!BD25)</f>
        <v/>
      </c>
      <c r="BE27" s="1" t="str">
        <f>IF(ISBLANK(PriceData!BE25),"",PriceData!BE25)</f>
        <v/>
      </c>
      <c r="BF27" s="1" t="str">
        <f>IF(ISBLANK(PriceData!BF25),"",PriceData!BF25)</f>
        <v/>
      </c>
      <c r="BG27" s="1" t="str">
        <f>IF(ISBLANK(PriceData!BG25),"",PriceData!BG25)</f>
        <v/>
      </c>
      <c r="BH27" s="1" t="str">
        <f>IF(ISBLANK(PriceData!BH25),"",PriceData!BH25)</f>
        <v/>
      </c>
      <c r="BI27" s="1" t="str">
        <f>IF(ISBLANK(PriceData!BI25),"",PriceData!BI25)</f>
        <v/>
      </c>
      <c r="BJ27" s="1" t="str">
        <f>IF(ISBLANK(PriceData!BJ25),"",PriceData!BJ25)</f>
        <v/>
      </c>
      <c r="BK27" s="1" t="str">
        <f>IF(ISBLANK(PriceData!BK25),"",PriceData!BK25)</f>
        <v/>
      </c>
      <c r="BL27" s="1" t="str">
        <f>IF(ISBLANK(PriceData!BL25),"",PriceData!BL25)</f>
        <v/>
      </c>
      <c r="BM27" s="1" t="str">
        <f>IF(ISBLANK(PriceData!BM25),"",PriceData!BM25)</f>
        <v/>
      </c>
      <c r="BN27" s="1" t="str">
        <f>IF(ISBLANK(PriceData!BN25),"",PriceData!BN25)</f>
        <v/>
      </c>
      <c r="BO27" s="1" t="str">
        <f>IF(ISBLANK(PriceData!BO25),"",PriceData!BO25)</f>
        <v/>
      </c>
      <c r="BP27" s="1" t="str">
        <f>IF(ISBLANK(PriceData!BP25),"",PriceData!BP25)</f>
        <v/>
      </c>
      <c r="BQ27" s="1" t="str">
        <f>IF(ISBLANK(PriceData!BQ25),"",PriceData!BQ25)</f>
        <v/>
      </c>
      <c r="BR27" s="1" t="str">
        <f>IF(ISBLANK(PriceData!BR25),"",PriceData!BR25)</f>
        <v/>
      </c>
      <c r="BS27" s="1" t="str">
        <f>IF(ISBLANK(PriceData!BS25),"",PriceData!BS25)</f>
        <v/>
      </c>
      <c r="BT27" s="1" t="str">
        <f>IF(ISBLANK(PriceData!BT25),"",PriceData!BT25)</f>
        <v/>
      </c>
      <c r="BU27" s="1" t="str">
        <f>IF(ISBLANK(PriceData!BU25),"",PriceData!BU25)</f>
        <v/>
      </c>
      <c r="BV27" s="1" t="str">
        <f>IF(ISBLANK(PriceData!BV25),"",PriceData!BV25)</f>
        <v/>
      </c>
      <c r="BW27" s="1" t="str">
        <f>IF(ISBLANK(PriceData!BW25),"",PriceData!BW25)</f>
        <v/>
      </c>
      <c r="BX27" s="1" t="str">
        <f>IF(ISBLANK(PriceData!BX25),"",PriceData!BX25)</f>
        <v/>
      </c>
      <c r="BY27" s="1" t="str">
        <f>IF(ISBLANK(PriceData!BY25),"",PriceData!BY25)</f>
        <v/>
      </c>
      <c r="BZ27" s="1" t="str">
        <f>IF(ISBLANK(PriceData!BZ25),"",PriceData!BZ25)</f>
        <v/>
      </c>
      <c r="CA27" s="1" t="str">
        <f>IF(ISBLANK(PriceData!CA25),"",PriceData!CA25)</f>
        <v/>
      </c>
      <c r="CB27" s="1" t="str">
        <f>IF(ISBLANK(PriceData!CB25),"",PriceData!CB25)</f>
        <v/>
      </c>
      <c r="CC27" s="1" t="str">
        <f>IF(ISBLANK(PriceData!CC25),"",PriceData!CC25)</f>
        <v/>
      </c>
      <c r="CD27" s="1" t="str">
        <f>IF(ISBLANK(PriceData!CD25),"",PriceData!CD25)</f>
        <v/>
      </c>
      <c r="CE27" s="1" t="str">
        <f>IF(ISBLANK(PriceData!CE25),"",PriceData!CE25)</f>
        <v/>
      </c>
      <c r="CF27" s="1" t="str">
        <f>IF(ISBLANK(PriceData!CF25),"",PriceData!CF25)</f>
        <v/>
      </c>
      <c r="CG27" s="1" t="str">
        <f>IF(ISBLANK(PriceData!CG25),"",PriceData!CG25)</f>
        <v/>
      </c>
      <c r="CH27" s="1" t="str">
        <f>IF(ISBLANK(PriceData!CH25),"",PriceData!CH25)</f>
        <v/>
      </c>
      <c r="CI27" s="1" t="str">
        <f>IF(ISBLANK(PriceData!CI25),"",PriceData!CI25)</f>
        <v/>
      </c>
      <c r="CJ27" s="1" t="str">
        <f>IF(ISBLANK(PriceData!CJ25),"",PriceData!CJ25)</f>
        <v/>
      </c>
      <c r="CK27" s="1" t="str">
        <f>IF(ISBLANK(PriceData!CK25),"",PriceData!CK25)</f>
        <v/>
      </c>
      <c r="CL27" s="1" t="str">
        <f>IF(ISBLANK(PriceData!CL25),"",PriceData!CL25)</f>
        <v/>
      </c>
      <c r="CM27" s="1" t="str">
        <f>IF(ISBLANK(PriceData!CM25),"",PriceData!CM25)</f>
        <v/>
      </c>
      <c r="CN27" s="1" t="str">
        <f>IF(ISBLANK(PriceData!CN25),"",PriceData!CN25)</f>
        <v/>
      </c>
    </row>
    <row r="28" spans="2:92" x14ac:dyDescent="0.25">
      <c r="B28" s="1" t="str">
        <f>IF(ISBLANK(PriceData!A26),"",PriceData!A26)</f>
        <v/>
      </c>
      <c r="C28" s="1" t="str">
        <f>IF(ISBLANK(PriceData!C26),"",PriceData!C26)</f>
        <v/>
      </c>
      <c r="D28" s="1" t="str">
        <f>IF(ISBLANK(PriceData!D26),"",PriceData!D26)</f>
        <v/>
      </c>
      <c r="E28" s="1" t="str">
        <f>IF(ISBLANK(PriceData!E26),"",PriceData!E26)</f>
        <v/>
      </c>
      <c r="F28" s="1" t="str">
        <f>IF(ISBLANK(PriceData!F26),"",PriceData!F26)</f>
        <v/>
      </c>
      <c r="G28" s="1" t="str">
        <f>IF(ISBLANK(PriceData!G26),"",PriceData!G26)</f>
        <v/>
      </c>
      <c r="H28" s="1" t="str">
        <f>IF(ISBLANK(PriceData!H26),"",PriceData!H26)</f>
        <v/>
      </c>
      <c r="I28" s="1" t="str">
        <f>IF(ISBLANK(PriceData!I26),"",PriceData!I26)</f>
        <v/>
      </c>
      <c r="J28" s="1" t="str">
        <f>IF(ISBLANK(PriceData!J26),"",PriceData!J26)</f>
        <v/>
      </c>
      <c r="K28" s="1" t="str">
        <f>IF(ISBLANK(PriceData!K26),"",PriceData!K26)</f>
        <v/>
      </c>
      <c r="L28" s="1" t="str">
        <f>IF(ISBLANK(PriceData!L26),"",PriceData!L26)</f>
        <v/>
      </c>
      <c r="M28" s="1" t="str">
        <f>IF(ISBLANK(PriceData!M26),"",PriceData!M26)</f>
        <v/>
      </c>
      <c r="N28" s="1" t="str">
        <f>IF(ISBLANK(PriceData!N26),"",PriceData!N26)</f>
        <v/>
      </c>
      <c r="O28" s="1" t="str">
        <f>IF(ISBLANK(PriceData!O26),"",PriceData!O26)</f>
        <v/>
      </c>
      <c r="P28" s="1" t="str">
        <f>IF(ISBLANK(PriceData!P26),"",PriceData!P26)</f>
        <v/>
      </c>
      <c r="Q28" s="1" t="str">
        <f>IF(ISBLANK(PriceData!Q26),"",PriceData!Q26)</f>
        <v/>
      </c>
      <c r="R28" s="1" t="str">
        <f>IF(ISBLANK(PriceData!R26),"",PriceData!R26)</f>
        <v/>
      </c>
      <c r="S28" s="1" t="str">
        <f>IF(ISBLANK(PriceData!S26),"",PriceData!S26)</f>
        <v/>
      </c>
      <c r="T28" s="1" t="str">
        <f>IF(ISBLANK(PriceData!T26),"",PriceData!T26)</f>
        <v/>
      </c>
      <c r="U28" s="1" t="str">
        <f>IF(ISBLANK(PriceData!U26),"",PriceData!U26)</f>
        <v/>
      </c>
      <c r="V28" s="1" t="str">
        <f>IF(ISBLANK(PriceData!V26),"",PriceData!V26)</f>
        <v/>
      </c>
      <c r="W28" s="1" t="str">
        <f>IF(ISBLANK(PriceData!W26),"",PriceData!W26)</f>
        <v/>
      </c>
      <c r="X28" s="1" t="str">
        <f>IF(ISBLANK(PriceData!X26),"",PriceData!X26)</f>
        <v/>
      </c>
      <c r="Y28" s="1" t="str">
        <f>IF(ISBLANK(PriceData!Y26),"",PriceData!Y26)</f>
        <v/>
      </c>
      <c r="Z28" s="1" t="str">
        <f>IF(ISBLANK(PriceData!Z26),"",PriceData!Z26)</f>
        <v/>
      </c>
      <c r="AA28" s="1" t="str">
        <f>IF(ISBLANK(PriceData!AA26),"",PriceData!AA26)</f>
        <v/>
      </c>
      <c r="AB28" s="1" t="str">
        <f>IF(ISBLANK(PriceData!AB26),"",PriceData!AB26)</f>
        <v/>
      </c>
      <c r="AC28" s="1" t="str">
        <f>IF(ISBLANK(PriceData!AC26),"",PriceData!AC26)</f>
        <v/>
      </c>
      <c r="AD28" s="1" t="str">
        <f>IF(ISBLANK(PriceData!AD26),"",PriceData!AD26)</f>
        <v/>
      </c>
      <c r="AE28" s="1" t="str">
        <f>IF(ISBLANK(PriceData!AE26),"",PriceData!AE26)</f>
        <v/>
      </c>
      <c r="AF28" s="1" t="str">
        <f>IF(ISBLANK(PriceData!AF26),"",PriceData!AF26)</f>
        <v/>
      </c>
      <c r="AG28" s="1" t="str">
        <f>IF(ISBLANK(PriceData!AG26),"",PriceData!AG26)</f>
        <v/>
      </c>
      <c r="AH28" s="1" t="str">
        <f>IF(ISBLANK(PriceData!AH26),"",PriceData!AH26)</f>
        <v/>
      </c>
      <c r="AI28" s="1" t="str">
        <f>IF(ISBLANK(PriceData!AI26),"",PriceData!AI26)</f>
        <v/>
      </c>
      <c r="AJ28" s="1" t="str">
        <f>IF(ISBLANK(PriceData!AJ26),"",PriceData!AJ26)</f>
        <v/>
      </c>
      <c r="AK28" s="1" t="str">
        <f>IF(ISBLANK(PriceData!AK26),"",PriceData!AK26)</f>
        <v/>
      </c>
      <c r="AL28" s="1" t="str">
        <f>IF(ISBLANK(PriceData!AL26),"",PriceData!AL26)</f>
        <v/>
      </c>
      <c r="AM28" s="1" t="str">
        <f>IF(ISBLANK(PriceData!AM26),"",PriceData!AM26)</f>
        <v/>
      </c>
      <c r="AN28" s="1" t="str">
        <f>IF(ISBLANK(PriceData!AN26),"",PriceData!AN26)</f>
        <v/>
      </c>
      <c r="AO28" s="1" t="str">
        <f>IF(ISBLANK(PriceData!AO26),"",PriceData!AO26)</f>
        <v/>
      </c>
      <c r="AP28" s="1" t="str">
        <f>IF(ISBLANK(PriceData!AP26),"",PriceData!AP26)</f>
        <v/>
      </c>
      <c r="AQ28" s="1" t="str">
        <f>IF(ISBLANK(PriceData!AQ26),"",PriceData!AQ26)</f>
        <v/>
      </c>
      <c r="AR28" s="1" t="str">
        <f>IF(ISBLANK(PriceData!AR26),"",PriceData!AR26)</f>
        <v/>
      </c>
      <c r="AS28" s="1" t="str">
        <f>IF(ISBLANK(PriceData!AS26),"",PriceData!AS26)</f>
        <v/>
      </c>
      <c r="AT28" s="1" t="str">
        <f>IF(ISBLANK(PriceData!AT26),"",PriceData!AT26)</f>
        <v/>
      </c>
      <c r="AU28" s="1" t="str">
        <f>IF(ISBLANK(PriceData!AU26),"",PriceData!AU26)</f>
        <v/>
      </c>
      <c r="AV28" s="1" t="str">
        <f>IF(ISBLANK(PriceData!AV26),"",PriceData!AV26)</f>
        <v/>
      </c>
      <c r="AW28" s="1" t="str">
        <f>IF(ISBLANK(PriceData!AW26),"",PriceData!AW26)</f>
        <v/>
      </c>
      <c r="AX28" s="1" t="str">
        <f>IF(ISBLANK(PriceData!AX26),"",PriceData!AX26)</f>
        <v/>
      </c>
      <c r="AY28" s="1" t="str">
        <f>IF(ISBLANK(PriceData!AY26),"",PriceData!AY26)</f>
        <v/>
      </c>
      <c r="AZ28" s="1" t="str">
        <f>IF(ISBLANK(PriceData!AZ26),"",PriceData!AZ26)</f>
        <v/>
      </c>
      <c r="BA28" s="1" t="str">
        <f>IF(ISBLANK(PriceData!BA26),"",PriceData!BA26)</f>
        <v/>
      </c>
      <c r="BB28" s="1" t="str">
        <f>IF(ISBLANK(PriceData!BB26),"",PriceData!BB26)</f>
        <v/>
      </c>
      <c r="BC28" s="1" t="str">
        <f>IF(ISBLANK(PriceData!BC26),"",PriceData!BC26)</f>
        <v/>
      </c>
      <c r="BD28" s="1" t="str">
        <f>IF(ISBLANK(PriceData!BD26),"",PriceData!BD26)</f>
        <v/>
      </c>
      <c r="BE28" s="1" t="str">
        <f>IF(ISBLANK(PriceData!BE26),"",PriceData!BE26)</f>
        <v/>
      </c>
      <c r="BF28" s="1" t="str">
        <f>IF(ISBLANK(PriceData!BF26),"",PriceData!BF26)</f>
        <v/>
      </c>
      <c r="BG28" s="1" t="str">
        <f>IF(ISBLANK(PriceData!BG26),"",PriceData!BG26)</f>
        <v/>
      </c>
      <c r="BH28" s="1" t="str">
        <f>IF(ISBLANK(PriceData!BH26),"",PriceData!BH26)</f>
        <v/>
      </c>
      <c r="BI28" s="1" t="str">
        <f>IF(ISBLANK(PriceData!BI26),"",PriceData!BI26)</f>
        <v/>
      </c>
      <c r="BJ28" s="1" t="str">
        <f>IF(ISBLANK(PriceData!BJ26),"",PriceData!BJ26)</f>
        <v/>
      </c>
      <c r="BK28" s="1" t="str">
        <f>IF(ISBLANK(PriceData!BK26),"",PriceData!BK26)</f>
        <v/>
      </c>
      <c r="BL28" s="1" t="str">
        <f>IF(ISBLANK(PriceData!BL26),"",PriceData!BL26)</f>
        <v/>
      </c>
      <c r="BM28" s="1" t="str">
        <f>IF(ISBLANK(PriceData!BM26),"",PriceData!BM26)</f>
        <v/>
      </c>
      <c r="BN28" s="1" t="str">
        <f>IF(ISBLANK(PriceData!BN26),"",PriceData!BN26)</f>
        <v/>
      </c>
      <c r="BO28" s="1" t="str">
        <f>IF(ISBLANK(PriceData!BO26),"",PriceData!BO26)</f>
        <v/>
      </c>
      <c r="BP28" s="1" t="str">
        <f>IF(ISBLANK(PriceData!BP26),"",PriceData!BP26)</f>
        <v/>
      </c>
      <c r="BQ28" s="1" t="str">
        <f>IF(ISBLANK(PriceData!BQ26),"",PriceData!BQ26)</f>
        <v/>
      </c>
      <c r="BR28" s="1" t="str">
        <f>IF(ISBLANK(PriceData!BR26),"",PriceData!BR26)</f>
        <v/>
      </c>
      <c r="BS28" s="1" t="str">
        <f>IF(ISBLANK(PriceData!BS26),"",PriceData!BS26)</f>
        <v/>
      </c>
      <c r="BT28" s="1" t="str">
        <f>IF(ISBLANK(PriceData!BT26),"",PriceData!BT26)</f>
        <v/>
      </c>
      <c r="BU28" s="1" t="str">
        <f>IF(ISBLANK(PriceData!BU26),"",PriceData!BU26)</f>
        <v/>
      </c>
      <c r="BV28" s="1" t="str">
        <f>IF(ISBLANK(PriceData!BV26),"",PriceData!BV26)</f>
        <v/>
      </c>
      <c r="BW28" s="1" t="str">
        <f>IF(ISBLANK(PriceData!BW26),"",PriceData!BW26)</f>
        <v/>
      </c>
      <c r="BX28" s="1" t="str">
        <f>IF(ISBLANK(PriceData!BX26),"",PriceData!BX26)</f>
        <v/>
      </c>
      <c r="BY28" s="1" t="str">
        <f>IF(ISBLANK(PriceData!BY26),"",PriceData!BY26)</f>
        <v/>
      </c>
      <c r="BZ28" s="1" t="str">
        <f>IF(ISBLANK(PriceData!BZ26),"",PriceData!BZ26)</f>
        <v/>
      </c>
      <c r="CA28" s="1" t="str">
        <f>IF(ISBLANK(PriceData!CA26),"",PriceData!CA26)</f>
        <v/>
      </c>
      <c r="CB28" s="1" t="str">
        <f>IF(ISBLANK(PriceData!CB26),"",PriceData!CB26)</f>
        <v/>
      </c>
      <c r="CC28" s="1" t="str">
        <f>IF(ISBLANK(PriceData!CC26),"",PriceData!CC26)</f>
        <v/>
      </c>
      <c r="CD28" s="1" t="str">
        <f>IF(ISBLANK(PriceData!CD26),"",PriceData!CD26)</f>
        <v/>
      </c>
      <c r="CE28" s="1" t="str">
        <f>IF(ISBLANK(PriceData!CE26),"",PriceData!CE26)</f>
        <v/>
      </c>
      <c r="CF28" s="1" t="str">
        <f>IF(ISBLANK(PriceData!CF26),"",PriceData!CF26)</f>
        <v/>
      </c>
      <c r="CG28" s="1" t="str">
        <f>IF(ISBLANK(PriceData!CG26),"",PriceData!CG26)</f>
        <v/>
      </c>
      <c r="CH28" s="1" t="str">
        <f>IF(ISBLANK(PriceData!CH26),"",PriceData!CH26)</f>
        <v/>
      </c>
      <c r="CI28" s="1" t="str">
        <f>IF(ISBLANK(PriceData!CI26),"",PriceData!CI26)</f>
        <v/>
      </c>
      <c r="CJ28" s="1" t="str">
        <f>IF(ISBLANK(PriceData!CJ26),"",PriceData!CJ26)</f>
        <v/>
      </c>
      <c r="CK28" s="1" t="str">
        <f>IF(ISBLANK(PriceData!CK26),"",PriceData!CK26)</f>
        <v/>
      </c>
      <c r="CL28" s="1" t="str">
        <f>IF(ISBLANK(PriceData!CL26),"",PriceData!CL26)</f>
        <v/>
      </c>
      <c r="CM28" s="1" t="str">
        <f>IF(ISBLANK(PriceData!CM26),"",PriceData!CM26)</f>
        <v/>
      </c>
      <c r="CN28" s="1" t="str">
        <f>IF(ISBLANK(PriceData!CN26),"",PriceData!CN26)</f>
        <v/>
      </c>
    </row>
    <row r="29" spans="2:92" x14ac:dyDescent="0.25">
      <c r="B29" s="1" t="str">
        <f>IF(ISBLANK(PriceData!A27),"",PriceData!A27)</f>
        <v/>
      </c>
      <c r="C29" s="1" t="str">
        <f>IF(ISBLANK(PriceData!C27),"",PriceData!C27)</f>
        <v/>
      </c>
      <c r="D29" s="1" t="str">
        <f>IF(ISBLANK(PriceData!D27),"",PriceData!D27)</f>
        <v/>
      </c>
      <c r="E29" s="1" t="str">
        <f>IF(ISBLANK(PriceData!E27),"",PriceData!E27)</f>
        <v/>
      </c>
      <c r="F29" s="1" t="str">
        <f>IF(ISBLANK(PriceData!F27),"",PriceData!F27)</f>
        <v/>
      </c>
      <c r="G29" s="1" t="str">
        <f>IF(ISBLANK(PriceData!G27),"",PriceData!G27)</f>
        <v/>
      </c>
      <c r="H29" s="1" t="str">
        <f>IF(ISBLANK(PriceData!H27),"",PriceData!H27)</f>
        <v/>
      </c>
      <c r="I29" s="1" t="str">
        <f>IF(ISBLANK(PriceData!I27),"",PriceData!I27)</f>
        <v/>
      </c>
      <c r="J29" s="1" t="str">
        <f>IF(ISBLANK(PriceData!J27),"",PriceData!J27)</f>
        <v/>
      </c>
      <c r="K29" s="1" t="str">
        <f>IF(ISBLANK(PriceData!K27),"",PriceData!K27)</f>
        <v/>
      </c>
      <c r="L29" s="1" t="str">
        <f>IF(ISBLANK(PriceData!L27),"",PriceData!L27)</f>
        <v/>
      </c>
      <c r="M29" s="1" t="str">
        <f>IF(ISBLANK(PriceData!M27),"",PriceData!M27)</f>
        <v/>
      </c>
      <c r="N29" s="1" t="str">
        <f>IF(ISBLANK(PriceData!N27),"",PriceData!N27)</f>
        <v/>
      </c>
      <c r="O29" s="1" t="str">
        <f>IF(ISBLANK(PriceData!O27),"",PriceData!O27)</f>
        <v/>
      </c>
      <c r="P29" s="1" t="str">
        <f>IF(ISBLANK(PriceData!P27),"",PriceData!P27)</f>
        <v/>
      </c>
      <c r="Q29" s="1" t="str">
        <f>IF(ISBLANK(PriceData!Q27),"",PriceData!Q27)</f>
        <v/>
      </c>
      <c r="R29" s="1" t="str">
        <f>IF(ISBLANK(PriceData!R27),"",PriceData!R27)</f>
        <v/>
      </c>
      <c r="S29" s="1" t="str">
        <f>IF(ISBLANK(PriceData!S27),"",PriceData!S27)</f>
        <v/>
      </c>
      <c r="T29" s="1" t="str">
        <f>IF(ISBLANK(PriceData!T27),"",PriceData!T27)</f>
        <v/>
      </c>
      <c r="U29" s="1" t="str">
        <f>IF(ISBLANK(PriceData!U27),"",PriceData!U27)</f>
        <v/>
      </c>
      <c r="V29" s="1" t="str">
        <f>IF(ISBLANK(PriceData!V27),"",PriceData!V27)</f>
        <v/>
      </c>
      <c r="W29" s="1" t="str">
        <f>IF(ISBLANK(PriceData!W27),"",PriceData!W27)</f>
        <v/>
      </c>
      <c r="X29" s="1" t="str">
        <f>IF(ISBLANK(PriceData!X27),"",PriceData!X27)</f>
        <v/>
      </c>
      <c r="Y29" s="1" t="str">
        <f>IF(ISBLANK(PriceData!Y27),"",PriceData!Y27)</f>
        <v/>
      </c>
      <c r="Z29" s="1" t="str">
        <f>IF(ISBLANK(PriceData!Z27),"",PriceData!Z27)</f>
        <v/>
      </c>
      <c r="AA29" s="1" t="str">
        <f>IF(ISBLANK(PriceData!AA27),"",PriceData!AA27)</f>
        <v/>
      </c>
      <c r="AB29" s="1" t="str">
        <f>IF(ISBLANK(PriceData!AB27),"",PriceData!AB27)</f>
        <v/>
      </c>
      <c r="AC29" s="1" t="str">
        <f>IF(ISBLANK(PriceData!AC27),"",PriceData!AC27)</f>
        <v/>
      </c>
      <c r="AD29" s="1" t="str">
        <f>IF(ISBLANK(PriceData!AD27),"",PriceData!AD27)</f>
        <v/>
      </c>
      <c r="AE29" s="1" t="str">
        <f>IF(ISBLANK(PriceData!AE27),"",PriceData!AE27)</f>
        <v/>
      </c>
      <c r="AF29" s="1" t="str">
        <f>IF(ISBLANK(PriceData!AF27),"",PriceData!AF27)</f>
        <v/>
      </c>
      <c r="AG29" s="1" t="str">
        <f>IF(ISBLANK(PriceData!AG27),"",PriceData!AG27)</f>
        <v/>
      </c>
      <c r="AH29" s="1" t="str">
        <f>IF(ISBLANK(PriceData!AH27),"",PriceData!AH27)</f>
        <v/>
      </c>
      <c r="AI29" s="1" t="str">
        <f>IF(ISBLANK(PriceData!AI27),"",PriceData!AI27)</f>
        <v/>
      </c>
      <c r="AJ29" s="1" t="str">
        <f>IF(ISBLANK(PriceData!AJ27),"",PriceData!AJ27)</f>
        <v/>
      </c>
      <c r="AK29" s="1" t="str">
        <f>IF(ISBLANK(PriceData!AK27),"",PriceData!AK27)</f>
        <v/>
      </c>
      <c r="AL29" s="1" t="str">
        <f>IF(ISBLANK(PriceData!AL27),"",PriceData!AL27)</f>
        <v/>
      </c>
      <c r="AM29" s="1" t="str">
        <f>IF(ISBLANK(PriceData!AM27),"",PriceData!AM27)</f>
        <v/>
      </c>
      <c r="AN29" s="1" t="str">
        <f>IF(ISBLANK(PriceData!AN27),"",PriceData!AN27)</f>
        <v/>
      </c>
      <c r="AO29" s="1" t="str">
        <f>IF(ISBLANK(PriceData!AO27),"",PriceData!AO27)</f>
        <v/>
      </c>
      <c r="AP29" s="1" t="str">
        <f>IF(ISBLANK(PriceData!AP27),"",PriceData!AP27)</f>
        <v/>
      </c>
      <c r="AQ29" s="1" t="str">
        <f>IF(ISBLANK(PriceData!AQ27),"",PriceData!AQ27)</f>
        <v/>
      </c>
      <c r="AR29" s="1" t="str">
        <f>IF(ISBLANK(PriceData!AR27),"",PriceData!AR27)</f>
        <v/>
      </c>
      <c r="AS29" s="1" t="str">
        <f>IF(ISBLANK(PriceData!AS27),"",PriceData!AS27)</f>
        <v/>
      </c>
      <c r="AT29" s="1" t="str">
        <f>IF(ISBLANK(PriceData!AT27),"",PriceData!AT27)</f>
        <v/>
      </c>
      <c r="AU29" s="1" t="str">
        <f>IF(ISBLANK(PriceData!AU27),"",PriceData!AU27)</f>
        <v/>
      </c>
      <c r="AV29" s="1" t="str">
        <f>IF(ISBLANK(PriceData!AV27),"",PriceData!AV27)</f>
        <v/>
      </c>
      <c r="AW29" s="1" t="str">
        <f>IF(ISBLANK(PriceData!AW27),"",PriceData!AW27)</f>
        <v/>
      </c>
      <c r="AX29" s="1" t="str">
        <f>IF(ISBLANK(PriceData!AX27),"",PriceData!AX27)</f>
        <v/>
      </c>
      <c r="AY29" s="1" t="str">
        <f>IF(ISBLANK(PriceData!AY27),"",PriceData!AY27)</f>
        <v/>
      </c>
      <c r="AZ29" s="1" t="str">
        <f>IF(ISBLANK(PriceData!AZ27),"",PriceData!AZ27)</f>
        <v/>
      </c>
      <c r="BA29" s="1" t="str">
        <f>IF(ISBLANK(PriceData!BA27),"",PriceData!BA27)</f>
        <v/>
      </c>
      <c r="BB29" s="1" t="str">
        <f>IF(ISBLANK(PriceData!BB27),"",PriceData!BB27)</f>
        <v/>
      </c>
      <c r="BC29" s="1" t="str">
        <f>IF(ISBLANK(PriceData!BC27),"",PriceData!BC27)</f>
        <v/>
      </c>
      <c r="BD29" s="1" t="str">
        <f>IF(ISBLANK(PriceData!BD27),"",PriceData!BD27)</f>
        <v/>
      </c>
      <c r="BE29" s="1" t="str">
        <f>IF(ISBLANK(PriceData!BE27),"",PriceData!BE27)</f>
        <v/>
      </c>
      <c r="BF29" s="1" t="str">
        <f>IF(ISBLANK(PriceData!BF27),"",PriceData!BF27)</f>
        <v/>
      </c>
      <c r="BG29" s="1" t="str">
        <f>IF(ISBLANK(PriceData!BG27),"",PriceData!BG27)</f>
        <v/>
      </c>
      <c r="BH29" s="1" t="str">
        <f>IF(ISBLANK(PriceData!BH27),"",PriceData!BH27)</f>
        <v/>
      </c>
      <c r="BI29" s="1" t="str">
        <f>IF(ISBLANK(PriceData!BI27),"",PriceData!BI27)</f>
        <v/>
      </c>
      <c r="BJ29" s="1" t="str">
        <f>IF(ISBLANK(PriceData!BJ27),"",PriceData!BJ27)</f>
        <v/>
      </c>
      <c r="BK29" s="1" t="str">
        <f>IF(ISBLANK(PriceData!BK27),"",PriceData!BK27)</f>
        <v/>
      </c>
      <c r="BL29" s="1" t="str">
        <f>IF(ISBLANK(PriceData!BL27),"",PriceData!BL27)</f>
        <v/>
      </c>
      <c r="BM29" s="1" t="str">
        <f>IF(ISBLANK(PriceData!BM27),"",PriceData!BM27)</f>
        <v/>
      </c>
      <c r="BN29" s="1" t="str">
        <f>IF(ISBLANK(PriceData!BN27),"",PriceData!BN27)</f>
        <v/>
      </c>
      <c r="BO29" s="1" t="str">
        <f>IF(ISBLANK(PriceData!BO27),"",PriceData!BO27)</f>
        <v/>
      </c>
      <c r="BP29" s="1" t="str">
        <f>IF(ISBLANK(PriceData!BP27),"",PriceData!BP27)</f>
        <v/>
      </c>
      <c r="BQ29" s="1" t="str">
        <f>IF(ISBLANK(PriceData!BQ27),"",PriceData!BQ27)</f>
        <v/>
      </c>
      <c r="BR29" s="1" t="str">
        <f>IF(ISBLANK(PriceData!BR27),"",PriceData!BR27)</f>
        <v/>
      </c>
      <c r="BS29" s="1" t="str">
        <f>IF(ISBLANK(PriceData!BS27),"",PriceData!BS27)</f>
        <v/>
      </c>
      <c r="BT29" s="1" t="str">
        <f>IF(ISBLANK(PriceData!BT27),"",PriceData!BT27)</f>
        <v/>
      </c>
      <c r="BU29" s="1" t="str">
        <f>IF(ISBLANK(PriceData!BU27),"",PriceData!BU27)</f>
        <v/>
      </c>
      <c r="BV29" s="1" t="str">
        <f>IF(ISBLANK(PriceData!BV27),"",PriceData!BV27)</f>
        <v/>
      </c>
      <c r="BW29" s="1" t="str">
        <f>IF(ISBLANK(PriceData!BW27),"",PriceData!BW27)</f>
        <v/>
      </c>
      <c r="BX29" s="1" t="str">
        <f>IF(ISBLANK(PriceData!BX27),"",PriceData!BX27)</f>
        <v/>
      </c>
      <c r="BY29" s="1" t="str">
        <f>IF(ISBLANK(PriceData!BY27),"",PriceData!BY27)</f>
        <v/>
      </c>
      <c r="BZ29" s="1" t="str">
        <f>IF(ISBLANK(PriceData!BZ27),"",PriceData!BZ27)</f>
        <v/>
      </c>
      <c r="CA29" s="1" t="str">
        <f>IF(ISBLANK(PriceData!CA27),"",PriceData!CA27)</f>
        <v/>
      </c>
      <c r="CB29" s="1" t="str">
        <f>IF(ISBLANK(PriceData!CB27),"",PriceData!CB27)</f>
        <v/>
      </c>
      <c r="CC29" s="1" t="str">
        <f>IF(ISBLANK(PriceData!CC27),"",PriceData!CC27)</f>
        <v/>
      </c>
      <c r="CD29" s="1" t="str">
        <f>IF(ISBLANK(PriceData!CD27),"",PriceData!CD27)</f>
        <v/>
      </c>
      <c r="CE29" s="1" t="str">
        <f>IF(ISBLANK(PriceData!CE27),"",PriceData!CE27)</f>
        <v/>
      </c>
      <c r="CF29" s="1" t="str">
        <f>IF(ISBLANK(PriceData!CF27),"",PriceData!CF27)</f>
        <v/>
      </c>
      <c r="CG29" s="1" t="str">
        <f>IF(ISBLANK(PriceData!CG27),"",PriceData!CG27)</f>
        <v/>
      </c>
      <c r="CH29" s="1" t="str">
        <f>IF(ISBLANK(PriceData!CH27),"",PriceData!CH27)</f>
        <v/>
      </c>
      <c r="CI29" s="1" t="str">
        <f>IF(ISBLANK(PriceData!CI27),"",PriceData!CI27)</f>
        <v/>
      </c>
      <c r="CJ29" s="1" t="str">
        <f>IF(ISBLANK(PriceData!CJ27),"",PriceData!CJ27)</f>
        <v/>
      </c>
      <c r="CK29" s="1" t="str">
        <f>IF(ISBLANK(PriceData!CK27),"",PriceData!CK27)</f>
        <v/>
      </c>
      <c r="CL29" s="1" t="str">
        <f>IF(ISBLANK(PriceData!CL27),"",PriceData!CL27)</f>
        <v/>
      </c>
      <c r="CM29" s="1" t="str">
        <f>IF(ISBLANK(PriceData!CM27),"",PriceData!CM27)</f>
        <v/>
      </c>
      <c r="CN29" s="1" t="str">
        <f>IF(ISBLANK(PriceData!CN27),"",PriceData!CN27)</f>
        <v/>
      </c>
    </row>
    <row r="30" spans="2:92" x14ac:dyDescent="0.25">
      <c r="B30" s="1" t="str">
        <f>IF(ISBLANK(PriceData!A28),"",PriceData!A28)</f>
        <v/>
      </c>
      <c r="C30" s="1" t="str">
        <f>IF(ISBLANK(PriceData!C28),"",PriceData!C28)</f>
        <v/>
      </c>
      <c r="D30" s="1" t="str">
        <f>IF(ISBLANK(PriceData!D28),"",PriceData!D28)</f>
        <v/>
      </c>
      <c r="E30" s="1" t="str">
        <f>IF(ISBLANK(PriceData!E28),"",PriceData!E28)</f>
        <v/>
      </c>
      <c r="F30" s="1" t="str">
        <f>IF(ISBLANK(PriceData!F28),"",PriceData!F28)</f>
        <v/>
      </c>
      <c r="G30" s="1" t="str">
        <f>IF(ISBLANK(PriceData!G28),"",PriceData!G28)</f>
        <v/>
      </c>
      <c r="H30" s="1" t="str">
        <f>IF(ISBLANK(PriceData!H28),"",PriceData!H28)</f>
        <v/>
      </c>
      <c r="I30" s="1" t="str">
        <f>IF(ISBLANK(PriceData!I28),"",PriceData!I28)</f>
        <v/>
      </c>
      <c r="J30" s="1" t="str">
        <f>IF(ISBLANK(PriceData!J28),"",PriceData!J28)</f>
        <v/>
      </c>
      <c r="K30" s="1" t="str">
        <f>IF(ISBLANK(PriceData!K28),"",PriceData!K28)</f>
        <v/>
      </c>
      <c r="L30" s="1" t="str">
        <f>IF(ISBLANK(PriceData!L28),"",PriceData!L28)</f>
        <v/>
      </c>
      <c r="M30" s="1" t="str">
        <f>IF(ISBLANK(PriceData!M28),"",PriceData!M28)</f>
        <v/>
      </c>
      <c r="N30" s="1" t="str">
        <f>IF(ISBLANK(PriceData!N28),"",PriceData!N28)</f>
        <v/>
      </c>
      <c r="O30" s="1" t="str">
        <f>IF(ISBLANK(PriceData!O28),"",PriceData!O28)</f>
        <v/>
      </c>
      <c r="P30" s="1" t="str">
        <f>IF(ISBLANK(PriceData!P28),"",PriceData!P28)</f>
        <v/>
      </c>
      <c r="Q30" s="1" t="str">
        <f>IF(ISBLANK(PriceData!Q28),"",PriceData!Q28)</f>
        <v/>
      </c>
      <c r="R30" s="1" t="str">
        <f>IF(ISBLANK(PriceData!R28),"",PriceData!R28)</f>
        <v/>
      </c>
      <c r="S30" s="1" t="str">
        <f>IF(ISBLANK(PriceData!S28),"",PriceData!S28)</f>
        <v/>
      </c>
      <c r="T30" s="1" t="str">
        <f>IF(ISBLANK(PriceData!T28),"",PriceData!T28)</f>
        <v/>
      </c>
      <c r="U30" s="1" t="str">
        <f>IF(ISBLANK(PriceData!U28),"",PriceData!U28)</f>
        <v/>
      </c>
      <c r="V30" s="1" t="str">
        <f>IF(ISBLANK(PriceData!V28),"",PriceData!V28)</f>
        <v/>
      </c>
      <c r="W30" s="1" t="str">
        <f>IF(ISBLANK(PriceData!W28),"",PriceData!W28)</f>
        <v/>
      </c>
      <c r="X30" s="1" t="str">
        <f>IF(ISBLANK(PriceData!X28),"",PriceData!X28)</f>
        <v/>
      </c>
      <c r="Y30" s="1" t="str">
        <f>IF(ISBLANK(PriceData!Y28),"",PriceData!Y28)</f>
        <v/>
      </c>
      <c r="Z30" s="1" t="str">
        <f>IF(ISBLANK(PriceData!Z28),"",PriceData!Z28)</f>
        <v/>
      </c>
      <c r="AA30" s="1" t="str">
        <f>IF(ISBLANK(PriceData!AA28),"",PriceData!AA28)</f>
        <v/>
      </c>
      <c r="AB30" s="1" t="str">
        <f>IF(ISBLANK(PriceData!AB28),"",PriceData!AB28)</f>
        <v/>
      </c>
      <c r="AC30" s="1" t="str">
        <f>IF(ISBLANK(PriceData!AC28),"",PriceData!AC28)</f>
        <v/>
      </c>
      <c r="AD30" s="1" t="str">
        <f>IF(ISBLANK(PriceData!AD28),"",PriceData!AD28)</f>
        <v/>
      </c>
      <c r="AE30" s="1" t="str">
        <f>IF(ISBLANK(PriceData!AE28),"",PriceData!AE28)</f>
        <v/>
      </c>
      <c r="AF30" s="1" t="str">
        <f>IF(ISBLANK(PriceData!AF28),"",PriceData!AF28)</f>
        <v/>
      </c>
      <c r="AG30" s="1" t="str">
        <f>IF(ISBLANK(PriceData!AG28),"",PriceData!AG28)</f>
        <v/>
      </c>
      <c r="AH30" s="1" t="str">
        <f>IF(ISBLANK(PriceData!AH28),"",PriceData!AH28)</f>
        <v/>
      </c>
      <c r="AI30" s="1" t="str">
        <f>IF(ISBLANK(PriceData!AI28),"",PriceData!AI28)</f>
        <v/>
      </c>
      <c r="AJ30" s="1" t="str">
        <f>IF(ISBLANK(PriceData!AJ28),"",PriceData!AJ28)</f>
        <v/>
      </c>
      <c r="AK30" s="1" t="str">
        <f>IF(ISBLANK(PriceData!AK28),"",PriceData!AK28)</f>
        <v/>
      </c>
      <c r="AL30" s="1" t="str">
        <f>IF(ISBLANK(PriceData!AL28),"",PriceData!AL28)</f>
        <v/>
      </c>
      <c r="AM30" s="1" t="str">
        <f>IF(ISBLANK(PriceData!AM28),"",PriceData!AM28)</f>
        <v/>
      </c>
      <c r="AN30" s="1" t="str">
        <f>IF(ISBLANK(PriceData!AN28),"",PriceData!AN28)</f>
        <v/>
      </c>
      <c r="AO30" s="1" t="str">
        <f>IF(ISBLANK(PriceData!AO28),"",PriceData!AO28)</f>
        <v/>
      </c>
      <c r="AP30" s="1" t="str">
        <f>IF(ISBLANK(PriceData!AP28),"",PriceData!AP28)</f>
        <v/>
      </c>
      <c r="AQ30" s="1" t="str">
        <f>IF(ISBLANK(PriceData!AQ28),"",PriceData!AQ28)</f>
        <v/>
      </c>
      <c r="AR30" s="1" t="str">
        <f>IF(ISBLANK(PriceData!AR28),"",PriceData!AR28)</f>
        <v/>
      </c>
      <c r="AS30" s="1" t="str">
        <f>IF(ISBLANK(PriceData!AS28),"",PriceData!AS28)</f>
        <v/>
      </c>
      <c r="AT30" s="1" t="str">
        <f>IF(ISBLANK(PriceData!AT28),"",PriceData!AT28)</f>
        <v/>
      </c>
      <c r="AU30" s="1" t="str">
        <f>IF(ISBLANK(PriceData!AU28),"",PriceData!AU28)</f>
        <v/>
      </c>
      <c r="AV30" s="1" t="str">
        <f>IF(ISBLANK(PriceData!AV28),"",PriceData!AV28)</f>
        <v/>
      </c>
      <c r="AW30" s="1" t="str">
        <f>IF(ISBLANK(PriceData!AW28),"",PriceData!AW28)</f>
        <v/>
      </c>
      <c r="AX30" s="1" t="str">
        <f>IF(ISBLANK(PriceData!AX28),"",PriceData!AX28)</f>
        <v/>
      </c>
      <c r="AY30" s="1" t="str">
        <f>IF(ISBLANK(PriceData!AY28),"",PriceData!AY28)</f>
        <v/>
      </c>
      <c r="AZ30" s="1" t="str">
        <f>IF(ISBLANK(PriceData!AZ28),"",PriceData!AZ28)</f>
        <v/>
      </c>
      <c r="BA30" s="1" t="str">
        <f>IF(ISBLANK(PriceData!BA28),"",PriceData!BA28)</f>
        <v/>
      </c>
      <c r="BB30" s="1" t="str">
        <f>IF(ISBLANK(PriceData!BB28),"",PriceData!BB28)</f>
        <v/>
      </c>
      <c r="BC30" s="1" t="str">
        <f>IF(ISBLANK(PriceData!BC28),"",PriceData!BC28)</f>
        <v/>
      </c>
      <c r="BD30" s="1" t="str">
        <f>IF(ISBLANK(PriceData!BD28),"",PriceData!BD28)</f>
        <v/>
      </c>
      <c r="BE30" s="1" t="str">
        <f>IF(ISBLANK(PriceData!BE28),"",PriceData!BE28)</f>
        <v/>
      </c>
      <c r="BF30" s="1" t="str">
        <f>IF(ISBLANK(PriceData!BF28),"",PriceData!BF28)</f>
        <v/>
      </c>
      <c r="BG30" s="1" t="str">
        <f>IF(ISBLANK(PriceData!BG28),"",PriceData!BG28)</f>
        <v/>
      </c>
      <c r="BH30" s="1" t="str">
        <f>IF(ISBLANK(PriceData!BH28),"",PriceData!BH28)</f>
        <v/>
      </c>
      <c r="BI30" s="1" t="str">
        <f>IF(ISBLANK(PriceData!BI28),"",PriceData!BI28)</f>
        <v/>
      </c>
      <c r="BJ30" s="1" t="str">
        <f>IF(ISBLANK(PriceData!BJ28),"",PriceData!BJ28)</f>
        <v/>
      </c>
      <c r="BK30" s="1" t="str">
        <f>IF(ISBLANK(PriceData!BK28),"",PriceData!BK28)</f>
        <v/>
      </c>
      <c r="BL30" s="1" t="str">
        <f>IF(ISBLANK(PriceData!BL28),"",PriceData!BL28)</f>
        <v/>
      </c>
      <c r="BM30" s="1" t="str">
        <f>IF(ISBLANK(PriceData!BM28),"",PriceData!BM28)</f>
        <v/>
      </c>
      <c r="BN30" s="1" t="str">
        <f>IF(ISBLANK(PriceData!BN28),"",PriceData!BN28)</f>
        <v/>
      </c>
      <c r="BO30" s="1" t="str">
        <f>IF(ISBLANK(PriceData!BO28),"",PriceData!BO28)</f>
        <v/>
      </c>
      <c r="BP30" s="1" t="str">
        <f>IF(ISBLANK(PriceData!BP28),"",PriceData!BP28)</f>
        <v/>
      </c>
      <c r="BQ30" s="1" t="str">
        <f>IF(ISBLANK(PriceData!BQ28),"",PriceData!BQ28)</f>
        <v/>
      </c>
      <c r="BR30" s="1" t="str">
        <f>IF(ISBLANK(PriceData!BR28),"",PriceData!BR28)</f>
        <v/>
      </c>
      <c r="BS30" s="1" t="str">
        <f>IF(ISBLANK(PriceData!BS28),"",PriceData!BS28)</f>
        <v/>
      </c>
      <c r="BT30" s="1" t="str">
        <f>IF(ISBLANK(PriceData!BT28),"",PriceData!BT28)</f>
        <v/>
      </c>
      <c r="BU30" s="1" t="str">
        <f>IF(ISBLANK(PriceData!BU28),"",PriceData!BU28)</f>
        <v/>
      </c>
      <c r="BV30" s="1" t="str">
        <f>IF(ISBLANK(PriceData!BV28),"",PriceData!BV28)</f>
        <v/>
      </c>
      <c r="BW30" s="1" t="str">
        <f>IF(ISBLANK(PriceData!BW28),"",PriceData!BW28)</f>
        <v/>
      </c>
      <c r="BX30" s="1" t="str">
        <f>IF(ISBLANK(PriceData!BX28),"",PriceData!BX28)</f>
        <v/>
      </c>
      <c r="BY30" s="1" t="str">
        <f>IF(ISBLANK(PriceData!BY28),"",PriceData!BY28)</f>
        <v/>
      </c>
      <c r="BZ30" s="1" t="str">
        <f>IF(ISBLANK(PriceData!BZ28),"",PriceData!BZ28)</f>
        <v/>
      </c>
      <c r="CA30" s="1" t="str">
        <f>IF(ISBLANK(PriceData!CA28),"",PriceData!CA28)</f>
        <v/>
      </c>
      <c r="CB30" s="1" t="str">
        <f>IF(ISBLANK(PriceData!CB28),"",PriceData!CB28)</f>
        <v/>
      </c>
      <c r="CC30" s="1" t="str">
        <f>IF(ISBLANK(PriceData!CC28),"",PriceData!CC28)</f>
        <v/>
      </c>
      <c r="CD30" s="1" t="str">
        <f>IF(ISBLANK(PriceData!CD28),"",PriceData!CD28)</f>
        <v/>
      </c>
      <c r="CE30" s="1" t="str">
        <f>IF(ISBLANK(PriceData!CE28),"",PriceData!CE28)</f>
        <v/>
      </c>
      <c r="CF30" s="1" t="str">
        <f>IF(ISBLANK(PriceData!CF28),"",PriceData!CF28)</f>
        <v/>
      </c>
      <c r="CG30" s="1" t="str">
        <f>IF(ISBLANK(PriceData!CG28),"",PriceData!CG28)</f>
        <v/>
      </c>
      <c r="CH30" s="1" t="str">
        <f>IF(ISBLANK(PriceData!CH28),"",PriceData!CH28)</f>
        <v/>
      </c>
      <c r="CI30" s="1" t="str">
        <f>IF(ISBLANK(PriceData!CI28),"",PriceData!CI28)</f>
        <v/>
      </c>
      <c r="CJ30" s="1" t="str">
        <f>IF(ISBLANK(PriceData!CJ28),"",PriceData!CJ28)</f>
        <v/>
      </c>
      <c r="CK30" s="1" t="str">
        <f>IF(ISBLANK(PriceData!CK28),"",PriceData!CK28)</f>
        <v/>
      </c>
      <c r="CL30" s="1" t="str">
        <f>IF(ISBLANK(PriceData!CL28),"",PriceData!CL28)</f>
        <v/>
      </c>
      <c r="CM30" s="1" t="str">
        <f>IF(ISBLANK(PriceData!CM28),"",PriceData!CM28)</f>
        <v/>
      </c>
      <c r="CN30" s="1" t="str">
        <f>IF(ISBLANK(PriceData!CN28),"",PriceData!CN28)</f>
        <v/>
      </c>
    </row>
    <row r="31" spans="2:92" x14ac:dyDescent="0.25">
      <c r="B31" s="1" t="str">
        <f>IF(ISBLANK(PriceData!A29),"",PriceData!A29)</f>
        <v/>
      </c>
      <c r="C31" s="1" t="str">
        <f>IF(ISBLANK(PriceData!C29),"",PriceData!C29)</f>
        <v/>
      </c>
      <c r="D31" s="1" t="str">
        <f>IF(ISBLANK(PriceData!D29),"",PriceData!D29)</f>
        <v/>
      </c>
      <c r="E31" s="1" t="str">
        <f>IF(ISBLANK(PriceData!E29),"",PriceData!E29)</f>
        <v/>
      </c>
      <c r="F31" s="1" t="str">
        <f>IF(ISBLANK(PriceData!F29),"",PriceData!F29)</f>
        <v/>
      </c>
      <c r="G31" s="1" t="str">
        <f>IF(ISBLANK(PriceData!G29),"",PriceData!G29)</f>
        <v/>
      </c>
      <c r="H31" s="1" t="str">
        <f>IF(ISBLANK(PriceData!H29),"",PriceData!H29)</f>
        <v/>
      </c>
      <c r="I31" s="1" t="str">
        <f>IF(ISBLANK(PriceData!I29),"",PriceData!I29)</f>
        <v/>
      </c>
      <c r="J31" s="1" t="str">
        <f>IF(ISBLANK(PriceData!J29),"",PriceData!J29)</f>
        <v/>
      </c>
      <c r="K31" s="1" t="str">
        <f>IF(ISBLANK(PriceData!K29),"",PriceData!K29)</f>
        <v/>
      </c>
      <c r="L31" s="1" t="str">
        <f>IF(ISBLANK(PriceData!L29),"",PriceData!L29)</f>
        <v/>
      </c>
      <c r="M31" s="1" t="str">
        <f>IF(ISBLANK(PriceData!M29),"",PriceData!M29)</f>
        <v/>
      </c>
      <c r="N31" s="1" t="str">
        <f>IF(ISBLANK(PriceData!N29),"",PriceData!N29)</f>
        <v/>
      </c>
      <c r="O31" s="1" t="str">
        <f>IF(ISBLANK(PriceData!O29),"",PriceData!O29)</f>
        <v/>
      </c>
      <c r="P31" s="1" t="str">
        <f>IF(ISBLANK(PriceData!P29),"",PriceData!P29)</f>
        <v/>
      </c>
      <c r="Q31" s="1" t="str">
        <f>IF(ISBLANK(PriceData!Q29),"",PriceData!Q29)</f>
        <v/>
      </c>
      <c r="R31" s="1" t="str">
        <f>IF(ISBLANK(PriceData!R29),"",PriceData!R29)</f>
        <v/>
      </c>
      <c r="S31" s="1" t="str">
        <f>IF(ISBLANK(PriceData!S29),"",PriceData!S29)</f>
        <v/>
      </c>
      <c r="T31" s="1" t="str">
        <f>IF(ISBLANK(PriceData!T29),"",PriceData!T29)</f>
        <v/>
      </c>
      <c r="U31" s="1" t="str">
        <f>IF(ISBLANK(PriceData!U29),"",PriceData!U29)</f>
        <v/>
      </c>
      <c r="V31" s="1" t="str">
        <f>IF(ISBLANK(PriceData!V29),"",PriceData!V29)</f>
        <v/>
      </c>
      <c r="W31" s="1" t="str">
        <f>IF(ISBLANK(PriceData!W29),"",PriceData!W29)</f>
        <v/>
      </c>
      <c r="X31" s="1" t="str">
        <f>IF(ISBLANK(PriceData!X29),"",PriceData!X29)</f>
        <v/>
      </c>
      <c r="Y31" s="1" t="str">
        <f>IF(ISBLANK(PriceData!Y29),"",PriceData!Y29)</f>
        <v/>
      </c>
      <c r="Z31" s="1" t="str">
        <f>IF(ISBLANK(PriceData!Z29),"",PriceData!Z29)</f>
        <v/>
      </c>
      <c r="AA31" s="1" t="str">
        <f>IF(ISBLANK(PriceData!AA29),"",PriceData!AA29)</f>
        <v/>
      </c>
      <c r="AB31" s="1" t="str">
        <f>IF(ISBLANK(PriceData!AB29),"",PriceData!AB29)</f>
        <v/>
      </c>
      <c r="AC31" s="1" t="str">
        <f>IF(ISBLANK(PriceData!AC29),"",PriceData!AC29)</f>
        <v/>
      </c>
      <c r="AD31" s="1" t="str">
        <f>IF(ISBLANK(PriceData!AD29),"",PriceData!AD29)</f>
        <v/>
      </c>
      <c r="AE31" s="1" t="str">
        <f>IF(ISBLANK(PriceData!AE29),"",PriceData!AE29)</f>
        <v/>
      </c>
      <c r="AF31" s="1" t="str">
        <f>IF(ISBLANK(PriceData!AF29),"",PriceData!AF29)</f>
        <v/>
      </c>
      <c r="AG31" s="1" t="str">
        <f>IF(ISBLANK(PriceData!AG29),"",PriceData!AG29)</f>
        <v/>
      </c>
      <c r="AH31" s="1" t="str">
        <f>IF(ISBLANK(PriceData!AH29),"",PriceData!AH29)</f>
        <v/>
      </c>
      <c r="AI31" s="1" t="str">
        <f>IF(ISBLANK(PriceData!AI29),"",PriceData!AI29)</f>
        <v/>
      </c>
      <c r="AJ31" s="1" t="str">
        <f>IF(ISBLANK(PriceData!AJ29),"",PriceData!AJ29)</f>
        <v/>
      </c>
      <c r="AK31" s="1" t="str">
        <f>IF(ISBLANK(PriceData!AK29),"",PriceData!AK29)</f>
        <v/>
      </c>
      <c r="AL31" s="1" t="str">
        <f>IF(ISBLANK(PriceData!AL29),"",PriceData!AL29)</f>
        <v/>
      </c>
      <c r="AM31" s="1" t="str">
        <f>IF(ISBLANK(PriceData!AM29),"",PriceData!AM29)</f>
        <v/>
      </c>
      <c r="AN31" s="1" t="str">
        <f>IF(ISBLANK(PriceData!AN29),"",PriceData!AN29)</f>
        <v/>
      </c>
      <c r="AO31" s="1" t="str">
        <f>IF(ISBLANK(PriceData!AO29),"",PriceData!AO29)</f>
        <v/>
      </c>
      <c r="AP31" s="1" t="str">
        <f>IF(ISBLANK(PriceData!AP29),"",PriceData!AP29)</f>
        <v/>
      </c>
      <c r="AQ31" s="1" t="str">
        <f>IF(ISBLANK(PriceData!AQ29),"",PriceData!AQ29)</f>
        <v/>
      </c>
      <c r="AR31" s="1" t="str">
        <f>IF(ISBLANK(PriceData!AR29),"",PriceData!AR29)</f>
        <v/>
      </c>
      <c r="AS31" s="1" t="str">
        <f>IF(ISBLANK(PriceData!AS29),"",PriceData!AS29)</f>
        <v/>
      </c>
      <c r="AT31" s="1" t="str">
        <f>IF(ISBLANK(PriceData!AT29),"",PriceData!AT29)</f>
        <v/>
      </c>
      <c r="AU31" s="1" t="str">
        <f>IF(ISBLANK(PriceData!AU29),"",PriceData!AU29)</f>
        <v/>
      </c>
      <c r="AV31" s="1" t="str">
        <f>IF(ISBLANK(PriceData!AV29),"",PriceData!AV29)</f>
        <v/>
      </c>
      <c r="AW31" s="1" t="str">
        <f>IF(ISBLANK(PriceData!AW29),"",PriceData!AW29)</f>
        <v/>
      </c>
      <c r="AX31" s="1" t="str">
        <f>IF(ISBLANK(PriceData!AX29),"",PriceData!AX29)</f>
        <v/>
      </c>
      <c r="AY31" s="1" t="str">
        <f>IF(ISBLANK(PriceData!AY29),"",PriceData!AY29)</f>
        <v/>
      </c>
      <c r="AZ31" s="1" t="str">
        <f>IF(ISBLANK(PriceData!AZ29),"",PriceData!AZ29)</f>
        <v/>
      </c>
      <c r="BA31" s="1" t="str">
        <f>IF(ISBLANK(PriceData!BA29),"",PriceData!BA29)</f>
        <v/>
      </c>
      <c r="BB31" s="1" t="str">
        <f>IF(ISBLANK(PriceData!BB29),"",PriceData!BB29)</f>
        <v/>
      </c>
      <c r="BC31" s="1" t="str">
        <f>IF(ISBLANK(PriceData!BC29),"",PriceData!BC29)</f>
        <v/>
      </c>
      <c r="BD31" s="1" t="str">
        <f>IF(ISBLANK(PriceData!BD29),"",PriceData!BD29)</f>
        <v/>
      </c>
      <c r="BE31" s="1" t="str">
        <f>IF(ISBLANK(PriceData!BE29),"",PriceData!BE29)</f>
        <v/>
      </c>
      <c r="BF31" s="1" t="str">
        <f>IF(ISBLANK(PriceData!BF29),"",PriceData!BF29)</f>
        <v/>
      </c>
      <c r="BG31" s="1" t="str">
        <f>IF(ISBLANK(PriceData!BG29),"",PriceData!BG29)</f>
        <v/>
      </c>
      <c r="BH31" s="1" t="str">
        <f>IF(ISBLANK(PriceData!BH29),"",PriceData!BH29)</f>
        <v/>
      </c>
      <c r="BI31" s="1" t="str">
        <f>IF(ISBLANK(PriceData!BI29),"",PriceData!BI29)</f>
        <v/>
      </c>
      <c r="BJ31" s="1" t="str">
        <f>IF(ISBLANK(PriceData!BJ29),"",PriceData!BJ29)</f>
        <v/>
      </c>
      <c r="BK31" s="1" t="str">
        <f>IF(ISBLANK(PriceData!BK29),"",PriceData!BK29)</f>
        <v/>
      </c>
      <c r="BL31" s="1" t="str">
        <f>IF(ISBLANK(PriceData!BL29),"",PriceData!BL29)</f>
        <v/>
      </c>
      <c r="BM31" s="1" t="str">
        <f>IF(ISBLANK(PriceData!BM29),"",PriceData!BM29)</f>
        <v/>
      </c>
      <c r="BN31" s="1" t="str">
        <f>IF(ISBLANK(PriceData!BN29),"",PriceData!BN29)</f>
        <v/>
      </c>
      <c r="BO31" s="1" t="str">
        <f>IF(ISBLANK(PriceData!BO29),"",PriceData!BO29)</f>
        <v/>
      </c>
      <c r="BP31" s="1" t="str">
        <f>IF(ISBLANK(PriceData!BP29),"",PriceData!BP29)</f>
        <v/>
      </c>
      <c r="BQ31" s="1" t="str">
        <f>IF(ISBLANK(PriceData!BQ29),"",PriceData!BQ29)</f>
        <v/>
      </c>
      <c r="BR31" s="1" t="str">
        <f>IF(ISBLANK(PriceData!BR29),"",PriceData!BR29)</f>
        <v/>
      </c>
      <c r="BS31" s="1" t="str">
        <f>IF(ISBLANK(PriceData!BS29),"",PriceData!BS29)</f>
        <v/>
      </c>
      <c r="BT31" s="1" t="str">
        <f>IF(ISBLANK(PriceData!BT29),"",PriceData!BT29)</f>
        <v/>
      </c>
      <c r="BU31" s="1" t="str">
        <f>IF(ISBLANK(PriceData!BU29),"",PriceData!BU29)</f>
        <v/>
      </c>
      <c r="BV31" s="1" t="str">
        <f>IF(ISBLANK(PriceData!BV29),"",PriceData!BV29)</f>
        <v/>
      </c>
      <c r="BW31" s="1" t="str">
        <f>IF(ISBLANK(PriceData!BW29),"",PriceData!BW29)</f>
        <v/>
      </c>
      <c r="BX31" s="1" t="str">
        <f>IF(ISBLANK(PriceData!BX29),"",PriceData!BX29)</f>
        <v/>
      </c>
      <c r="BY31" s="1" t="str">
        <f>IF(ISBLANK(PriceData!BY29),"",PriceData!BY29)</f>
        <v/>
      </c>
      <c r="BZ31" s="1" t="str">
        <f>IF(ISBLANK(PriceData!BZ29),"",PriceData!BZ29)</f>
        <v/>
      </c>
      <c r="CA31" s="1" t="str">
        <f>IF(ISBLANK(PriceData!CA29),"",PriceData!CA29)</f>
        <v/>
      </c>
      <c r="CB31" s="1" t="str">
        <f>IF(ISBLANK(PriceData!CB29),"",PriceData!CB29)</f>
        <v/>
      </c>
      <c r="CC31" s="1" t="str">
        <f>IF(ISBLANK(PriceData!CC29),"",PriceData!CC29)</f>
        <v/>
      </c>
      <c r="CD31" s="1" t="str">
        <f>IF(ISBLANK(PriceData!CD29),"",PriceData!CD29)</f>
        <v/>
      </c>
      <c r="CE31" s="1" t="str">
        <f>IF(ISBLANK(PriceData!CE29),"",PriceData!CE29)</f>
        <v/>
      </c>
      <c r="CF31" s="1" t="str">
        <f>IF(ISBLANK(PriceData!CF29),"",PriceData!CF29)</f>
        <v/>
      </c>
      <c r="CG31" s="1" t="str">
        <f>IF(ISBLANK(PriceData!CG29),"",PriceData!CG29)</f>
        <v/>
      </c>
      <c r="CH31" s="1" t="str">
        <f>IF(ISBLANK(PriceData!CH29),"",PriceData!CH29)</f>
        <v/>
      </c>
      <c r="CI31" s="1" t="str">
        <f>IF(ISBLANK(PriceData!CI29),"",PriceData!CI29)</f>
        <v/>
      </c>
      <c r="CJ31" s="1" t="str">
        <f>IF(ISBLANK(PriceData!CJ29),"",PriceData!CJ29)</f>
        <v/>
      </c>
      <c r="CK31" s="1" t="str">
        <f>IF(ISBLANK(PriceData!CK29),"",PriceData!CK29)</f>
        <v/>
      </c>
      <c r="CL31" s="1" t="str">
        <f>IF(ISBLANK(PriceData!CL29),"",PriceData!CL29)</f>
        <v/>
      </c>
      <c r="CM31" s="1" t="str">
        <f>IF(ISBLANK(PriceData!CM29),"",PriceData!CM29)</f>
        <v/>
      </c>
      <c r="CN31" s="1" t="str">
        <f>IF(ISBLANK(PriceData!CN29),"",PriceData!CN29)</f>
        <v/>
      </c>
    </row>
    <row r="32" spans="2:92" x14ac:dyDescent="0.25">
      <c r="B32" s="1" t="str">
        <f>IF(ISBLANK(PriceData!A30),"",PriceData!A30)</f>
        <v/>
      </c>
      <c r="C32" s="1" t="str">
        <f>IF(ISBLANK(PriceData!C30),"",PriceData!C30)</f>
        <v/>
      </c>
      <c r="D32" s="1" t="str">
        <f>IF(ISBLANK(PriceData!D30),"",PriceData!D30)</f>
        <v/>
      </c>
      <c r="E32" s="1" t="str">
        <f>IF(ISBLANK(PriceData!E30),"",PriceData!E30)</f>
        <v/>
      </c>
      <c r="F32" s="1" t="str">
        <f>IF(ISBLANK(PriceData!F30),"",PriceData!F30)</f>
        <v/>
      </c>
      <c r="G32" s="1" t="str">
        <f>IF(ISBLANK(PriceData!G30),"",PriceData!G30)</f>
        <v/>
      </c>
      <c r="H32" s="1" t="str">
        <f>IF(ISBLANK(PriceData!H30),"",PriceData!H30)</f>
        <v/>
      </c>
      <c r="I32" s="1" t="str">
        <f>IF(ISBLANK(PriceData!I30),"",PriceData!I30)</f>
        <v/>
      </c>
      <c r="J32" s="1" t="str">
        <f>IF(ISBLANK(PriceData!J30),"",PriceData!J30)</f>
        <v/>
      </c>
      <c r="K32" s="1" t="str">
        <f>IF(ISBLANK(PriceData!K30),"",PriceData!K30)</f>
        <v/>
      </c>
      <c r="L32" s="1" t="str">
        <f>IF(ISBLANK(PriceData!L30),"",PriceData!L30)</f>
        <v/>
      </c>
      <c r="M32" s="1" t="str">
        <f>IF(ISBLANK(PriceData!M30),"",PriceData!M30)</f>
        <v/>
      </c>
      <c r="N32" s="1" t="str">
        <f>IF(ISBLANK(PriceData!N30),"",PriceData!N30)</f>
        <v/>
      </c>
      <c r="O32" s="1" t="str">
        <f>IF(ISBLANK(PriceData!O30),"",PriceData!O30)</f>
        <v/>
      </c>
      <c r="P32" s="1" t="str">
        <f>IF(ISBLANK(PriceData!P30),"",PriceData!P30)</f>
        <v/>
      </c>
      <c r="Q32" s="1" t="str">
        <f>IF(ISBLANK(PriceData!Q30),"",PriceData!Q30)</f>
        <v/>
      </c>
      <c r="R32" s="1" t="str">
        <f>IF(ISBLANK(PriceData!R30),"",PriceData!R30)</f>
        <v/>
      </c>
      <c r="S32" s="1" t="str">
        <f>IF(ISBLANK(PriceData!S30),"",PriceData!S30)</f>
        <v/>
      </c>
      <c r="T32" s="1" t="str">
        <f>IF(ISBLANK(PriceData!T30),"",PriceData!T30)</f>
        <v/>
      </c>
      <c r="U32" s="1" t="str">
        <f>IF(ISBLANK(PriceData!U30),"",PriceData!U30)</f>
        <v/>
      </c>
      <c r="V32" s="1" t="str">
        <f>IF(ISBLANK(PriceData!V30),"",PriceData!V30)</f>
        <v/>
      </c>
      <c r="W32" s="1" t="str">
        <f>IF(ISBLANK(PriceData!W30),"",PriceData!W30)</f>
        <v/>
      </c>
      <c r="X32" s="1" t="str">
        <f>IF(ISBLANK(PriceData!X30),"",PriceData!X30)</f>
        <v/>
      </c>
      <c r="Y32" s="1" t="str">
        <f>IF(ISBLANK(PriceData!Y30),"",PriceData!Y30)</f>
        <v/>
      </c>
      <c r="Z32" s="1" t="str">
        <f>IF(ISBLANK(PriceData!Z30),"",PriceData!Z30)</f>
        <v/>
      </c>
      <c r="AA32" s="1" t="str">
        <f>IF(ISBLANK(PriceData!AA30),"",PriceData!AA30)</f>
        <v/>
      </c>
      <c r="AB32" s="1" t="str">
        <f>IF(ISBLANK(PriceData!AB30),"",PriceData!AB30)</f>
        <v/>
      </c>
      <c r="AC32" s="1" t="str">
        <f>IF(ISBLANK(PriceData!AC30),"",PriceData!AC30)</f>
        <v/>
      </c>
      <c r="AD32" s="1" t="str">
        <f>IF(ISBLANK(PriceData!AD30),"",PriceData!AD30)</f>
        <v/>
      </c>
      <c r="AE32" s="1" t="str">
        <f>IF(ISBLANK(PriceData!AE30),"",PriceData!AE30)</f>
        <v/>
      </c>
      <c r="AF32" s="1" t="str">
        <f>IF(ISBLANK(PriceData!AF30),"",PriceData!AF30)</f>
        <v/>
      </c>
      <c r="AG32" s="1" t="str">
        <f>IF(ISBLANK(PriceData!AG30),"",PriceData!AG30)</f>
        <v/>
      </c>
      <c r="AH32" s="1" t="str">
        <f>IF(ISBLANK(PriceData!AH30),"",PriceData!AH30)</f>
        <v/>
      </c>
      <c r="AI32" s="1" t="str">
        <f>IF(ISBLANK(PriceData!AI30),"",PriceData!AI30)</f>
        <v/>
      </c>
      <c r="AJ32" s="1" t="str">
        <f>IF(ISBLANK(PriceData!AJ30),"",PriceData!AJ30)</f>
        <v/>
      </c>
      <c r="AK32" s="1" t="str">
        <f>IF(ISBLANK(PriceData!AK30),"",PriceData!AK30)</f>
        <v/>
      </c>
      <c r="AL32" s="1" t="str">
        <f>IF(ISBLANK(PriceData!AL30),"",PriceData!AL30)</f>
        <v/>
      </c>
      <c r="AM32" s="1" t="str">
        <f>IF(ISBLANK(PriceData!AM30),"",PriceData!AM30)</f>
        <v/>
      </c>
      <c r="AN32" s="1" t="str">
        <f>IF(ISBLANK(PriceData!AN30),"",PriceData!AN30)</f>
        <v/>
      </c>
      <c r="AO32" s="1" t="str">
        <f>IF(ISBLANK(PriceData!AO30),"",PriceData!AO30)</f>
        <v/>
      </c>
      <c r="AP32" s="1" t="str">
        <f>IF(ISBLANK(PriceData!AP30),"",PriceData!AP30)</f>
        <v/>
      </c>
      <c r="AQ32" s="1" t="str">
        <f>IF(ISBLANK(PriceData!AQ30),"",PriceData!AQ30)</f>
        <v/>
      </c>
      <c r="AR32" s="1" t="str">
        <f>IF(ISBLANK(PriceData!AR30),"",PriceData!AR30)</f>
        <v/>
      </c>
      <c r="AS32" s="1" t="str">
        <f>IF(ISBLANK(PriceData!AS30),"",PriceData!AS30)</f>
        <v/>
      </c>
      <c r="AT32" s="1" t="str">
        <f>IF(ISBLANK(PriceData!AT30),"",PriceData!AT30)</f>
        <v/>
      </c>
      <c r="AU32" s="1" t="str">
        <f>IF(ISBLANK(PriceData!AU30),"",PriceData!AU30)</f>
        <v/>
      </c>
      <c r="AV32" s="1" t="str">
        <f>IF(ISBLANK(PriceData!AV30),"",PriceData!AV30)</f>
        <v/>
      </c>
      <c r="AW32" s="1" t="str">
        <f>IF(ISBLANK(PriceData!AW30),"",PriceData!AW30)</f>
        <v/>
      </c>
      <c r="AX32" s="1" t="str">
        <f>IF(ISBLANK(PriceData!AX30),"",PriceData!AX30)</f>
        <v/>
      </c>
      <c r="AY32" s="1" t="str">
        <f>IF(ISBLANK(PriceData!AY30),"",PriceData!AY30)</f>
        <v/>
      </c>
      <c r="AZ32" s="1" t="str">
        <f>IF(ISBLANK(PriceData!AZ30),"",PriceData!AZ30)</f>
        <v/>
      </c>
      <c r="BA32" s="1" t="str">
        <f>IF(ISBLANK(PriceData!BA30),"",PriceData!BA30)</f>
        <v/>
      </c>
      <c r="BB32" s="1" t="str">
        <f>IF(ISBLANK(PriceData!BB30),"",PriceData!BB30)</f>
        <v/>
      </c>
      <c r="BC32" s="1" t="str">
        <f>IF(ISBLANK(PriceData!BC30),"",PriceData!BC30)</f>
        <v/>
      </c>
      <c r="BD32" s="1" t="str">
        <f>IF(ISBLANK(PriceData!BD30),"",PriceData!BD30)</f>
        <v/>
      </c>
      <c r="BE32" s="1" t="str">
        <f>IF(ISBLANK(PriceData!BE30),"",PriceData!BE30)</f>
        <v/>
      </c>
      <c r="BF32" s="1" t="str">
        <f>IF(ISBLANK(PriceData!BF30),"",PriceData!BF30)</f>
        <v/>
      </c>
      <c r="BG32" s="1" t="str">
        <f>IF(ISBLANK(PriceData!BG30),"",PriceData!BG30)</f>
        <v/>
      </c>
      <c r="BH32" s="1" t="str">
        <f>IF(ISBLANK(PriceData!BH30),"",PriceData!BH30)</f>
        <v/>
      </c>
      <c r="BI32" s="1" t="str">
        <f>IF(ISBLANK(PriceData!BI30),"",PriceData!BI30)</f>
        <v/>
      </c>
      <c r="BJ32" s="1" t="str">
        <f>IF(ISBLANK(PriceData!BJ30),"",PriceData!BJ30)</f>
        <v/>
      </c>
      <c r="BK32" s="1" t="str">
        <f>IF(ISBLANK(PriceData!BK30),"",PriceData!BK30)</f>
        <v/>
      </c>
      <c r="BL32" s="1" t="str">
        <f>IF(ISBLANK(PriceData!BL30),"",PriceData!BL30)</f>
        <v/>
      </c>
      <c r="BM32" s="1" t="str">
        <f>IF(ISBLANK(PriceData!BM30),"",PriceData!BM30)</f>
        <v/>
      </c>
      <c r="BN32" s="1" t="str">
        <f>IF(ISBLANK(PriceData!BN30),"",PriceData!BN30)</f>
        <v/>
      </c>
      <c r="BO32" s="1" t="str">
        <f>IF(ISBLANK(PriceData!BO30),"",PriceData!BO30)</f>
        <v/>
      </c>
      <c r="BP32" s="1" t="str">
        <f>IF(ISBLANK(PriceData!BP30),"",PriceData!BP30)</f>
        <v/>
      </c>
      <c r="BQ32" s="1" t="str">
        <f>IF(ISBLANK(PriceData!BQ30),"",PriceData!BQ30)</f>
        <v/>
      </c>
      <c r="BR32" s="1" t="str">
        <f>IF(ISBLANK(PriceData!BR30),"",PriceData!BR30)</f>
        <v/>
      </c>
      <c r="BS32" s="1" t="str">
        <f>IF(ISBLANK(PriceData!BS30),"",PriceData!BS30)</f>
        <v/>
      </c>
      <c r="BT32" s="1" t="str">
        <f>IF(ISBLANK(PriceData!BT30),"",PriceData!BT30)</f>
        <v/>
      </c>
      <c r="BU32" s="1" t="str">
        <f>IF(ISBLANK(PriceData!BU30),"",PriceData!BU30)</f>
        <v/>
      </c>
      <c r="BV32" s="1" t="str">
        <f>IF(ISBLANK(PriceData!BV30),"",PriceData!BV30)</f>
        <v/>
      </c>
      <c r="BW32" s="1" t="str">
        <f>IF(ISBLANK(PriceData!BW30),"",PriceData!BW30)</f>
        <v/>
      </c>
      <c r="BX32" s="1" t="str">
        <f>IF(ISBLANK(PriceData!BX30),"",PriceData!BX30)</f>
        <v/>
      </c>
      <c r="BY32" s="1" t="str">
        <f>IF(ISBLANK(PriceData!BY30),"",PriceData!BY30)</f>
        <v/>
      </c>
      <c r="BZ32" s="1" t="str">
        <f>IF(ISBLANK(PriceData!BZ30),"",PriceData!BZ30)</f>
        <v/>
      </c>
      <c r="CA32" s="1" t="str">
        <f>IF(ISBLANK(PriceData!CA30),"",PriceData!CA30)</f>
        <v/>
      </c>
      <c r="CB32" s="1" t="str">
        <f>IF(ISBLANK(PriceData!CB30),"",PriceData!CB30)</f>
        <v/>
      </c>
      <c r="CC32" s="1" t="str">
        <f>IF(ISBLANK(PriceData!CC30),"",PriceData!CC30)</f>
        <v/>
      </c>
      <c r="CD32" s="1" t="str">
        <f>IF(ISBLANK(PriceData!CD30),"",PriceData!CD30)</f>
        <v/>
      </c>
      <c r="CE32" s="1" t="str">
        <f>IF(ISBLANK(PriceData!CE30),"",PriceData!CE30)</f>
        <v/>
      </c>
      <c r="CF32" s="1" t="str">
        <f>IF(ISBLANK(PriceData!CF30),"",PriceData!CF30)</f>
        <v/>
      </c>
      <c r="CG32" s="1" t="str">
        <f>IF(ISBLANK(PriceData!CG30),"",PriceData!CG30)</f>
        <v/>
      </c>
      <c r="CH32" s="1" t="str">
        <f>IF(ISBLANK(PriceData!CH30),"",PriceData!CH30)</f>
        <v/>
      </c>
      <c r="CI32" s="1" t="str">
        <f>IF(ISBLANK(PriceData!CI30),"",PriceData!CI30)</f>
        <v/>
      </c>
      <c r="CJ32" s="1" t="str">
        <f>IF(ISBLANK(PriceData!CJ30),"",PriceData!CJ30)</f>
        <v/>
      </c>
      <c r="CK32" s="1" t="str">
        <f>IF(ISBLANK(PriceData!CK30),"",PriceData!CK30)</f>
        <v/>
      </c>
      <c r="CL32" s="1" t="str">
        <f>IF(ISBLANK(PriceData!CL30),"",PriceData!CL30)</f>
        <v/>
      </c>
      <c r="CM32" s="1" t="str">
        <f>IF(ISBLANK(PriceData!CM30),"",PriceData!CM30)</f>
        <v/>
      </c>
      <c r="CN32" s="1" t="str">
        <f>IF(ISBLANK(PriceData!CN30),"",PriceData!CN30)</f>
        <v/>
      </c>
    </row>
    <row r="33" spans="2:92" x14ac:dyDescent="0.25">
      <c r="B33" s="1" t="str">
        <f>IF(ISBLANK(PriceData!A31),"",PriceData!A31)</f>
        <v/>
      </c>
      <c r="C33" s="1" t="str">
        <f>IF(ISBLANK(PriceData!C31),"",PriceData!C31)</f>
        <v/>
      </c>
      <c r="D33" s="1" t="str">
        <f>IF(ISBLANK(PriceData!D31),"",PriceData!D31)</f>
        <v/>
      </c>
      <c r="E33" s="1" t="str">
        <f>IF(ISBLANK(PriceData!E31),"",PriceData!E31)</f>
        <v/>
      </c>
      <c r="F33" s="1" t="str">
        <f>IF(ISBLANK(PriceData!F31),"",PriceData!F31)</f>
        <v/>
      </c>
      <c r="G33" s="1" t="str">
        <f>IF(ISBLANK(PriceData!G31),"",PriceData!G31)</f>
        <v/>
      </c>
      <c r="H33" s="1" t="str">
        <f>IF(ISBLANK(PriceData!H31),"",PriceData!H31)</f>
        <v/>
      </c>
      <c r="I33" s="1" t="str">
        <f>IF(ISBLANK(PriceData!I31),"",PriceData!I31)</f>
        <v/>
      </c>
      <c r="J33" s="1" t="str">
        <f>IF(ISBLANK(PriceData!J31),"",PriceData!J31)</f>
        <v/>
      </c>
      <c r="K33" s="1" t="str">
        <f>IF(ISBLANK(PriceData!K31),"",PriceData!K31)</f>
        <v/>
      </c>
      <c r="L33" s="1" t="str">
        <f>IF(ISBLANK(PriceData!L31),"",PriceData!L31)</f>
        <v/>
      </c>
      <c r="M33" s="1" t="str">
        <f>IF(ISBLANK(PriceData!M31),"",PriceData!M31)</f>
        <v/>
      </c>
      <c r="N33" s="1" t="str">
        <f>IF(ISBLANK(PriceData!N31),"",PriceData!N31)</f>
        <v/>
      </c>
      <c r="O33" s="1" t="str">
        <f>IF(ISBLANK(PriceData!O31),"",PriceData!O31)</f>
        <v/>
      </c>
      <c r="P33" s="1" t="str">
        <f>IF(ISBLANK(PriceData!P31),"",PriceData!P31)</f>
        <v/>
      </c>
      <c r="Q33" s="1" t="str">
        <f>IF(ISBLANK(PriceData!Q31),"",PriceData!Q31)</f>
        <v/>
      </c>
      <c r="R33" s="1" t="str">
        <f>IF(ISBLANK(PriceData!R31),"",PriceData!R31)</f>
        <v/>
      </c>
      <c r="S33" s="1" t="str">
        <f>IF(ISBLANK(PriceData!S31),"",PriceData!S31)</f>
        <v/>
      </c>
      <c r="T33" s="1" t="str">
        <f>IF(ISBLANK(PriceData!T31),"",PriceData!T31)</f>
        <v/>
      </c>
      <c r="U33" s="1" t="str">
        <f>IF(ISBLANK(PriceData!U31),"",PriceData!U31)</f>
        <v/>
      </c>
      <c r="V33" s="1" t="str">
        <f>IF(ISBLANK(PriceData!V31),"",PriceData!V31)</f>
        <v/>
      </c>
      <c r="W33" s="1" t="str">
        <f>IF(ISBLANK(PriceData!W31),"",PriceData!W31)</f>
        <v/>
      </c>
      <c r="X33" s="1" t="str">
        <f>IF(ISBLANK(PriceData!X31),"",PriceData!X31)</f>
        <v/>
      </c>
      <c r="Y33" s="1" t="str">
        <f>IF(ISBLANK(PriceData!Y31),"",PriceData!Y31)</f>
        <v/>
      </c>
      <c r="Z33" s="1" t="str">
        <f>IF(ISBLANK(PriceData!Z31),"",PriceData!Z31)</f>
        <v/>
      </c>
      <c r="AA33" s="1" t="str">
        <f>IF(ISBLANK(PriceData!AA31),"",PriceData!AA31)</f>
        <v/>
      </c>
      <c r="AB33" s="1" t="str">
        <f>IF(ISBLANK(PriceData!AB31),"",PriceData!AB31)</f>
        <v/>
      </c>
      <c r="AC33" s="1" t="str">
        <f>IF(ISBLANK(PriceData!AC31),"",PriceData!AC31)</f>
        <v/>
      </c>
      <c r="AD33" s="1" t="str">
        <f>IF(ISBLANK(PriceData!AD31),"",PriceData!AD31)</f>
        <v/>
      </c>
      <c r="AE33" s="1" t="str">
        <f>IF(ISBLANK(PriceData!AE31),"",PriceData!AE31)</f>
        <v/>
      </c>
      <c r="AF33" s="1" t="str">
        <f>IF(ISBLANK(PriceData!AF31),"",PriceData!AF31)</f>
        <v/>
      </c>
      <c r="AG33" s="1" t="str">
        <f>IF(ISBLANK(PriceData!AG31),"",PriceData!AG31)</f>
        <v/>
      </c>
      <c r="AH33" s="1" t="str">
        <f>IF(ISBLANK(PriceData!AH31),"",PriceData!AH31)</f>
        <v/>
      </c>
      <c r="AI33" s="1" t="str">
        <f>IF(ISBLANK(PriceData!AI31),"",PriceData!AI31)</f>
        <v/>
      </c>
      <c r="AJ33" s="1" t="str">
        <f>IF(ISBLANK(PriceData!AJ31),"",PriceData!AJ31)</f>
        <v/>
      </c>
      <c r="AK33" s="1" t="str">
        <f>IF(ISBLANK(PriceData!AK31),"",PriceData!AK31)</f>
        <v/>
      </c>
      <c r="AL33" s="1" t="str">
        <f>IF(ISBLANK(PriceData!AL31),"",PriceData!AL31)</f>
        <v/>
      </c>
      <c r="AM33" s="1" t="str">
        <f>IF(ISBLANK(PriceData!AM31),"",PriceData!AM31)</f>
        <v/>
      </c>
      <c r="AN33" s="1" t="str">
        <f>IF(ISBLANK(PriceData!AN31),"",PriceData!AN31)</f>
        <v/>
      </c>
      <c r="AO33" s="1" t="str">
        <f>IF(ISBLANK(PriceData!AO31),"",PriceData!AO31)</f>
        <v/>
      </c>
      <c r="AP33" s="1" t="str">
        <f>IF(ISBLANK(PriceData!AP31),"",PriceData!AP31)</f>
        <v/>
      </c>
      <c r="AQ33" s="1" t="str">
        <f>IF(ISBLANK(PriceData!AQ31),"",PriceData!AQ31)</f>
        <v/>
      </c>
      <c r="AR33" s="1" t="str">
        <f>IF(ISBLANK(PriceData!AR31),"",PriceData!AR31)</f>
        <v/>
      </c>
      <c r="AS33" s="1" t="str">
        <f>IF(ISBLANK(PriceData!AS31),"",PriceData!AS31)</f>
        <v/>
      </c>
      <c r="AT33" s="1" t="str">
        <f>IF(ISBLANK(PriceData!AT31),"",PriceData!AT31)</f>
        <v/>
      </c>
      <c r="AU33" s="1" t="str">
        <f>IF(ISBLANK(PriceData!AU31),"",PriceData!AU31)</f>
        <v/>
      </c>
      <c r="AV33" s="1" t="str">
        <f>IF(ISBLANK(PriceData!AV31),"",PriceData!AV31)</f>
        <v/>
      </c>
      <c r="AW33" s="1" t="str">
        <f>IF(ISBLANK(PriceData!AW31),"",PriceData!AW31)</f>
        <v/>
      </c>
      <c r="AX33" s="1" t="str">
        <f>IF(ISBLANK(PriceData!AX31),"",PriceData!AX31)</f>
        <v/>
      </c>
      <c r="AY33" s="1" t="str">
        <f>IF(ISBLANK(PriceData!AY31),"",PriceData!AY31)</f>
        <v/>
      </c>
      <c r="AZ33" s="1" t="str">
        <f>IF(ISBLANK(PriceData!AZ31),"",PriceData!AZ31)</f>
        <v/>
      </c>
      <c r="BA33" s="1" t="str">
        <f>IF(ISBLANK(PriceData!BA31),"",PriceData!BA31)</f>
        <v/>
      </c>
      <c r="BB33" s="1" t="str">
        <f>IF(ISBLANK(PriceData!BB31),"",PriceData!BB31)</f>
        <v/>
      </c>
      <c r="BC33" s="1" t="str">
        <f>IF(ISBLANK(PriceData!BC31),"",PriceData!BC31)</f>
        <v/>
      </c>
      <c r="BD33" s="1" t="str">
        <f>IF(ISBLANK(PriceData!BD31),"",PriceData!BD31)</f>
        <v/>
      </c>
      <c r="BE33" s="1" t="str">
        <f>IF(ISBLANK(PriceData!BE31),"",PriceData!BE31)</f>
        <v/>
      </c>
      <c r="BF33" s="1" t="str">
        <f>IF(ISBLANK(PriceData!BF31),"",PriceData!BF31)</f>
        <v/>
      </c>
      <c r="BG33" s="1" t="str">
        <f>IF(ISBLANK(PriceData!BG31),"",PriceData!BG31)</f>
        <v/>
      </c>
      <c r="BH33" s="1" t="str">
        <f>IF(ISBLANK(PriceData!BH31),"",PriceData!BH31)</f>
        <v/>
      </c>
      <c r="BI33" s="1" t="str">
        <f>IF(ISBLANK(PriceData!BI31),"",PriceData!BI31)</f>
        <v/>
      </c>
      <c r="BJ33" s="1" t="str">
        <f>IF(ISBLANK(PriceData!BJ31),"",PriceData!BJ31)</f>
        <v/>
      </c>
      <c r="BK33" s="1" t="str">
        <f>IF(ISBLANK(PriceData!BK31),"",PriceData!BK31)</f>
        <v/>
      </c>
      <c r="BL33" s="1" t="str">
        <f>IF(ISBLANK(PriceData!BL31),"",PriceData!BL31)</f>
        <v/>
      </c>
      <c r="BM33" s="1" t="str">
        <f>IF(ISBLANK(PriceData!BM31),"",PriceData!BM31)</f>
        <v/>
      </c>
      <c r="BN33" s="1" t="str">
        <f>IF(ISBLANK(PriceData!BN31),"",PriceData!BN31)</f>
        <v/>
      </c>
      <c r="BO33" s="1" t="str">
        <f>IF(ISBLANK(PriceData!BO31),"",PriceData!BO31)</f>
        <v/>
      </c>
      <c r="BP33" s="1" t="str">
        <f>IF(ISBLANK(PriceData!BP31),"",PriceData!BP31)</f>
        <v/>
      </c>
      <c r="BQ33" s="1" t="str">
        <f>IF(ISBLANK(PriceData!BQ31),"",PriceData!BQ31)</f>
        <v/>
      </c>
      <c r="BR33" s="1" t="str">
        <f>IF(ISBLANK(PriceData!BR31),"",PriceData!BR31)</f>
        <v/>
      </c>
      <c r="BS33" s="1" t="str">
        <f>IF(ISBLANK(PriceData!BS31),"",PriceData!BS31)</f>
        <v/>
      </c>
      <c r="BT33" s="1" t="str">
        <f>IF(ISBLANK(PriceData!BT31),"",PriceData!BT31)</f>
        <v/>
      </c>
      <c r="BU33" s="1" t="str">
        <f>IF(ISBLANK(PriceData!BU31),"",PriceData!BU31)</f>
        <v/>
      </c>
      <c r="BV33" s="1" t="str">
        <f>IF(ISBLANK(PriceData!BV31),"",PriceData!BV31)</f>
        <v/>
      </c>
      <c r="BW33" s="1" t="str">
        <f>IF(ISBLANK(PriceData!BW31),"",PriceData!BW31)</f>
        <v/>
      </c>
      <c r="BX33" s="1" t="str">
        <f>IF(ISBLANK(PriceData!BX31),"",PriceData!BX31)</f>
        <v/>
      </c>
      <c r="BY33" s="1" t="str">
        <f>IF(ISBLANK(PriceData!BY31),"",PriceData!BY31)</f>
        <v/>
      </c>
      <c r="BZ33" s="1" t="str">
        <f>IF(ISBLANK(PriceData!BZ31),"",PriceData!BZ31)</f>
        <v/>
      </c>
      <c r="CA33" s="1" t="str">
        <f>IF(ISBLANK(PriceData!CA31),"",PriceData!CA31)</f>
        <v/>
      </c>
      <c r="CB33" s="1" t="str">
        <f>IF(ISBLANK(PriceData!CB31),"",PriceData!CB31)</f>
        <v/>
      </c>
      <c r="CC33" s="1" t="str">
        <f>IF(ISBLANK(PriceData!CC31),"",PriceData!CC31)</f>
        <v/>
      </c>
      <c r="CD33" s="1" t="str">
        <f>IF(ISBLANK(PriceData!CD31),"",PriceData!CD31)</f>
        <v/>
      </c>
      <c r="CE33" s="1" t="str">
        <f>IF(ISBLANK(PriceData!CE31),"",PriceData!CE31)</f>
        <v/>
      </c>
      <c r="CF33" s="1" t="str">
        <f>IF(ISBLANK(PriceData!CF31),"",PriceData!CF31)</f>
        <v/>
      </c>
      <c r="CG33" s="1" t="str">
        <f>IF(ISBLANK(PriceData!CG31),"",PriceData!CG31)</f>
        <v/>
      </c>
      <c r="CH33" s="1" t="str">
        <f>IF(ISBLANK(PriceData!CH31),"",PriceData!CH31)</f>
        <v/>
      </c>
      <c r="CI33" s="1" t="str">
        <f>IF(ISBLANK(PriceData!CI31),"",PriceData!CI31)</f>
        <v/>
      </c>
      <c r="CJ33" s="1" t="str">
        <f>IF(ISBLANK(PriceData!CJ31),"",PriceData!CJ31)</f>
        <v/>
      </c>
      <c r="CK33" s="1" t="str">
        <f>IF(ISBLANK(PriceData!CK31),"",PriceData!CK31)</f>
        <v/>
      </c>
      <c r="CL33" s="1" t="str">
        <f>IF(ISBLANK(PriceData!CL31),"",PriceData!CL31)</f>
        <v/>
      </c>
      <c r="CM33" s="1" t="str">
        <f>IF(ISBLANK(PriceData!CM31),"",PriceData!CM31)</f>
        <v/>
      </c>
      <c r="CN33" s="1" t="str">
        <f>IF(ISBLANK(PriceData!CN31),"",PriceData!CN31)</f>
        <v/>
      </c>
    </row>
    <row r="34" spans="2:92" x14ac:dyDescent="0.25">
      <c r="B34" s="1" t="str">
        <f>IF(ISBLANK(PriceData!A32),"",PriceData!A32)</f>
        <v/>
      </c>
      <c r="C34" s="1" t="str">
        <f>IF(ISBLANK(PriceData!C32),"",PriceData!C32)</f>
        <v/>
      </c>
      <c r="D34" s="1" t="str">
        <f>IF(ISBLANK(PriceData!D32),"",PriceData!D32)</f>
        <v/>
      </c>
      <c r="E34" s="1" t="str">
        <f>IF(ISBLANK(PriceData!E32),"",PriceData!E32)</f>
        <v/>
      </c>
      <c r="F34" s="1" t="str">
        <f>IF(ISBLANK(PriceData!F32),"",PriceData!F32)</f>
        <v/>
      </c>
      <c r="G34" s="1" t="str">
        <f>IF(ISBLANK(PriceData!G32),"",PriceData!G32)</f>
        <v/>
      </c>
      <c r="H34" s="1" t="str">
        <f>IF(ISBLANK(PriceData!H32),"",PriceData!H32)</f>
        <v/>
      </c>
      <c r="I34" s="1" t="str">
        <f>IF(ISBLANK(PriceData!I32),"",PriceData!I32)</f>
        <v/>
      </c>
      <c r="J34" s="1" t="str">
        <f>IF(ISBLANK(PriceData!J32),"",PriceData!J32)</f>
        <v/>
      </c>
      <c r="K34" s="1" t="str">
        <f>IF(ISBLANK(PriceData!K32),"",PriceData!K32)</f>
        <v/>
      </c>
      <c r="L34" s="1" t="str">
        <f>IF(ISBLANK(PriceData!L32),"",PriceData!L32)</f>
        <v/>
      </c>
      <c r="M34" s="1" t="str">
        <f>IF(ISBLANK(PriceData!M32),"",PriceData!M32)</f>
        <v/>
      </c>
      <c r="N34" s="1" t="str">
        <f>IF(ISBLANK(PriceData!N32),"",PriceData!N32)</f>
        <v/>
      </c>
      <c r="O34" s="1" t="str">
        <f>IF(ISBLANK(PriceData!O32),"",PriceData!O32)</f>
        <v/>
      </c>
      <c r="P34" s="1" t="str">
        <f>IF(ISBLANK(PriceData!P32),"",PriceData!P32)</f>
        <v/>
      </c>
      <c r="Q34" s="1" t="str">
        <f>IF(ISBLANK(PriceData!Q32),"",PriceData!Q32)</f>
        <v/>
      </c>
      <c r="R34" s="1" t="str">
        <f>IF(ISBLANK(PriceData!R32),"",PriceData!R32)</f>
        <v/>
      </c>
      <c r="S34" s="1" t="str">
        <f>IF(ISBLANK(PriceData!S32),"",PriceData!S32)</f>
        <v/>
      </c>
      <c r="T34" s="1" t="str">
        <f>IF(ISBLANK(PriceData!T32),"",PriceData!T32)</f>
        <v/>
      </c>
      <c r="U34" s="1" t="str">
        <f>IF(ISBLANK(PriceData!U32),"",PriceData!U32)</f>
        <v/>
      </c>
      <c r="V34" s="1" t="str">
        <f>IF(ISBLANK(PriceData!V32),"",PriceData!V32)</f>
        <v/>
      </c>
      <c r="W34" s="1" t="str">
        <f>IF(ISBLANK(PriceData!W32),"",PriceData!W32)</f>
        <v/>
      </c>
      <c r="X34" s="1" t="str">
        <f>IF(ISBLANK(PriceData!X32),"",PriceData!X32)</f>
        <v/>
      </c>
      <c r="Y34" s="1" t="str">
        <f>IF(ISBLANK(PriceData!Y32),"",PriceData!Y32)</f>
        <v/>
      </c>
      <c r="Z34" s="1" t="str">
        <f>IF(ISBLANK(PriceData!Z32),"",PriceData!Z32)</f>
        <v/>
      </c>
      <c r="AA34" s="1" t="str">
        <f>IF(ISBLANK(PriceData!AA32),"",PriceData!AA32)</f>
        <v/>
      </c>
      <c r="AB34" s="1" t="str">
        <f>IF(ISBLANK(PriceData!AB32),"",PriceData!AB32)</f>
        <v/>
      </c>
      <c r="AC34" s="1" t="str">
        <f>IF(ISBLANK(PriceData!AC32),"",PriceData!AC32)</f>
        <v/>
      </c>
      <c r="AD34" s="1" t="str">
        <f>IF(ISBLANK(PriceData!AD32),"",PriceData!AD32)</f>
        <v/>
      </c>
      <c r="AE34" s="1" t="str">
        <f>IF(ISBLANK(PriceData!AE32),"",PriceData!AE32)</f>
        <v/>
      </c>
      <c r="AF34" s="1" t="str">
        <f>IF(ISBLANK(PriceData!AF32),"",PriceData!AF32)</f>
        <v/>
      </c>
      <c r="AG34" s="1" t="str">
        <f>IF(ISBLANK(PriceData!AG32),"",PriceData!AG32)</f>
        <v/>
      </c>
      <c r="AH34" s="1" t="str">
        <f>IF(ISBLANK(PriceData!AH32),"",PriceData!AH32)</f>
        <v/>
      </c>
      <c r="AI34" s="1" t="str">
        <f>IF(ISBLANK(PriceData!AI32),"",PriceData!AI32)</f>
        <v/>
      </c>
      <c r="AJ34" s="1" t="str">
        <f>IF(ISBLANK(PriceData!AJ32),"",PriceData!AJ32)</f>
        <v/>
      </c>
      <c r="AK34" s="1" t="str">
        <f>IF(ISBLANK(PriceData!AK32),"",PriceData!AK32)</f>
        <v/>
      </c>
      <c r="AL34" s="1" t="str">
        <f>IF(ISBLANK(PriceData!AL32),"",PriceData!AL32)</f>
        <v/>
      </c>
      <c r="AM34" s="1" t="str">
        <f>IF(ISBLANK(PriceData!AM32),"",PriceData!AM32)</f>
        <v/>
      </c>
      <c r="AN34" s="1" t="str">
        <f>IF(ISBLANK(PriceData!AN32),"",PriceData!AN32)</f>
        <v/>
      </c>
      <c r="AO34" s="1" t="str">
        <f>IF(ISBLANK(PriceData!AO32),"",PriceData!AO32)</f>
        <v/>
      </c>
      <c r="AP34" s="1" t="str">
        <f>IF(ISBLANK(PriceData!AP32),"",PriceData!AP32)</f>
        <v/>
      </c>
      <c r="AQ34" s="1" t="str">
        <f>IF(ISBLANK(PriceData!AQ32),"",PriceData!AQ32)</f>
        <v/>
      </c>
      <c r="AR34" s="1" t="str">
        <f>IF(ISBLANK(PriceData!AR32),"",PriceData!AR32)</f>
        <v/>
      </c>
      <c r="AS34" s="1" t="str">
        <f>IF(ISBLANK(PriceData!AS32),"",PriceData!AS32)</f>
        <v/>
      </c>
      <c r="AT34" s="1" t="str">
        <f>IF(ISBLANK(PriceData!AT32),"",PriceData!AT32)</f>
        <v/>
      </c>
      <c r="AU34" s="1" t="str">
        <f>IF(ISBLANK(PriceData!AU32),"",PriceData!AU32)</f>
        <v/>
      </c>
      <c r="AV34" s="1" t="str">
        <f>IF(ISBLANK(PriceData!AV32),"",PriceData!AV32)</f>
        <v/>
      </c>
      <c r="AW34" s="1" t="str">
        <f>IF(ISBLANK(PriceData!AW32),"",PriceData!AW32)</f>
        <v/>
      </c>
      <c r="AX34" s="1" t="str">
        <f>IF(ISBLANK(PriceData!AX32),"",PriceData!AX32)</f>
        <v/>
      </c>
      <c r="AY34" s="1" t="str">
        <f>IF(ISBLANK(PriceData!AY32),"",PriceData!AY32)</f>
        <v/>
      </c>
      <c r="AZ34" s="1" t="str">
        <f>IF(ISBLANK(PriceData!AZ32),"",PriceData!AZ32)</f>
        <v/>
      </c>
      <c r="BA34" s="1" t="str">
        <f>IF(ISBLANK(PriceData!BA32),"",PriceData!BA32)</f>
        <v/>
      </c>
      <c r="BB34" s="1" t="str">
        <f>IF(ISBLANK(PriceData!BB32),"",PriceData!BB32)</f>
        <v/>
      </c>
      <c r="BC34" s="1" t="str">
        <f>IF(ISBLANK(PriceData!BC32),"",PriceData!BC32)</f>
        <v/>
      </c>
      <c r="BD34" s="1" t="str">
        <f>IF(ISBLANK(PriceData!BD32),"",PriceData!BD32)</f>
        <v/>
      </c>
      <c r="BE34" s="1" t="str">
        <f>IF(ISBLANK(PriceData!BE32),"",PriceData!BE32)</f>
        <v/>
      </c>
      <c r="BF34" s="1" t="str">
        <f>IF(ISBLANK(PriceData!BF32),"",PriceData!BF32)</f>
        <v/>
      </c>
      <c r="BG34" s="1" t="str">
        <f>IF(ISBLANK(PriceData!BG32),"",PriceData!BG32)</f>
        <v/>
      </c>
      <c r="BH34" s="1" t="str">
        <f>IF(ISBLANK(PriceData!BH32),"",PriceData!BH32)</f>
        <v/>
      </c>
      <c r="BI34" s="1" t="str">
        <f>IF(ISBLANK(PriceData!BI32),"",PriceData!BI32)</f>
        <v/>
      </c>
      <c r="BJ34" s="1" t="str">
        <f>IF(ISBLANK(PriceData!BJ32),"",PriceData!BJ32)</f>
        <v/>
      </c>
      <c r="BK34" s="1" t="str">
        <f>IF(ISBLANK(PriceData!BK32),"",PriceData!BK32)</f>
        <v/>
      </c>
      <c r="BL34" s="1" t="str">
        <f>IF(ISBLANK(PriceData!BL32),"",PriceData!BL32)</f>
        <v/>
      </c>
      <c r="BM34" s="1" t="str">
        <f>IF(ISBLANK(PriceData!BM32),"",PriceData!BM32)</f>
        <v/>
      </c>
      <c r="BN34" s="1" t="str">
        <f>IF(ISBLANK(PriceData!BN32),"",PriceData!BN32)</f>
        <v/>
      </c>
      <c r="BO34" s="1" t="str">
        <f>IF(ISBLANK(PriceData!BO32),"",PriceData!BO32)</f>
        <v/>
      </c>
      <c r="BP34" s="1" t="str">
        <f>IF(ISBLANK(PriceData!BP32),"",PriceData!BP32)</f>
        <v/>
      </c>
      <c r="BQ34" s="1" t="str">
        <f>IF(ISBLANK(PriceData!BQ32),"",PriceData!BQ32)</f>
        <v/>
      </c>
      <c r="BR34" s="1" t="str">
        <f>IF(ISBLANK(PriceData!BR32),"",PriceData!BR32)</f>
        <v/>
      </c>
      <c r="BS34" s="1" t="str">
        <f>IF(ISBLANK(PriceData!BS32),"",PriceData!BS32)</f>
        <v/>
      </c>
      <c r="BT34" s="1" t="str">
        <f>IF(ISBLANK(PriceData!BT32),"",PriceData!BT32)</f>
        <v/>
      </c>
      <c r="BU34" s="1" t="str">
        <f>IF(ISBLANK(PriceData!BU32),"",PriceData!BU32)</f>
        <v/>
      </c>
      <c r="BV34" s="1" t="str">
        <f>IF(ISBLANK(PriceData!BV32),"",PriceData!BV32)</f>
        <v/>
      </c>
      <c r="BW34" s="1" t="str">
        <f>IF(ISBLANK(PriceData!BW32),"",PriceData!BW32)</f>
        <v/>
      </c>
      <c r="BX34" s="1" t="str">
        <f>IF(ISBLANK(PriceData!BX32),"",PriceData!BX32)</f>
        <v/>
      </c>
      <c r="BY34" s="1" t="str">
        <f>IF(ISBLANK(PriceData!BY32),"",PriceData!BY32)</f>
        <v/>
      </c>
      <c r="BZ34" s="1" t="str">
        <f>IF(ISBLANK(PriceData!BZ32),"",PriceData!BZ32)</f>
        <v/>
      </c>
      <c r="CA34" s="1" t="str">
        <f>IF(ISBLANK(PriceData!CA32),"",PriceData!CA32)</f>
        <v/>
      </c>
      <c r="CB34" s="1" t="str">
        <f>IF(ISBLANK(PriceData!CB32),"",PriceData!CB32)</f>
        <v/>
      </c>
      <c r="CC34" s="1" t="str">
        <f>IF(ISBLANK(PriceData!CC32),"",PriceData!CC32)</f>
        <v/>
      </c>
      <c r="CD34" s="1" t="str">
        <f>IF(ISBLANK(PriceData!CD32),"",PriceData!CD32)</f>
        <v/>
      </c>
      <c r="CE34" s="1" t="str">
        <f>IF(ISBLANK(PriceData!CE32),"",PriceData!CE32)</f>
        <v/>
      </c>
      <c r="CF34" s="1" t="str">
        <f>IF(ISBLANK(PriceData!CF32),"",PriceData!CF32)</f>
        <v/>
      </c>
      <c r="CG34" s="1" t="str">
        <f>IF(ISBLANK(PriceData!CG32),"",PriceData!CG32)</f>
        <v/>
      </c>
      <c r="CH34" s="1" t="str">
        <f>IF(ISBLANK(PriceData!CH32),"",PriceData!CH32)</f>
        <v/>
      </c>
      <c r="CI34" s="1" t="str">
        <f>IF(ISBLANK(PriceData!CI32),"",PriceData!CI32)</f>
        <v/>
      </c>
      <c r="CJ34" s="1" t="str">
        <f>IF(ISBLANK(PriceData!CJ32),"",PriceData!CJ32)</f>
        <v/>
      </c>
      <c r="CK34" s="1" t="str">
        <f>IF(ISBLANK(PriceData!CK32),"",PriceData!CK32)</f>
        <v/>
      </c>
      <c r="CL34" s="1" t="str">
        <f>IF(ISBLANK(PriceData!CL32),"",PriceData!CL32)</f>
        <v/>
      </c>
      <c r="CM34" s="1" t="str">
        <f>IF(ISBLANK(PriceData!CM32),"",PriceData!CM32)</f>
        <v/>
      </c>
      <c r="CN34" s="1" t="str">
        <f>IF(ISBLANK(PriceData!CN32),"",PriceData!CN32)</f>
        <v/>
      </c>
    </row>
    <row r="35" spans="2:92" x14ac:dyDescent="0.25">
      <c r="B35" s="1" t="str">
        <f>IF(ISBLANK(PriceData!A33),"",PriceData!A33)</f>
        <v/>
      </c>
      <c r="C35" s="1" t="str">
        <f>IF(ISBLANK(PriceData!C33),"",PriceData!C33)</f>
        <v/>
      </c>
      <c r="D35" s="1" t="str">
        <f>IF(ISBLANK(PriceData!D33),"",PriceData!D33)</f>
        <v/>
      </c>
      <c r="E35" s="1" t="str">
        <f>IF(ISBLANK(PriceData!E33),"",PriceData!E33)</f>
        <v/>
      </c>
      <c r="F35" s="1" t="str">
        <f>IF(ISBLANK(PriceData!F33),"",PriceData!F33)</f>
        <v/>
      </c>
      <c r="G35" s="1" t="str">
        <f>IF(ISBLANK(PriceData!G33),"",PriceData!G33)</f>
        <v/>
      </c>
      <c r="H35" s="1" t="str">
        <f>IF(ISBLANK(PriceData!H33),"",PriceData!H33)</f>
        <v/>
      </c>
      <c r="I35" s="1" t="str">
        <f>IF(ISBLANK(PriceData!I33),"",PriceData!I33)</f>
        <v/>
      </c>
      <c r="J35" s="1" t="str">
        <f>IF(ISBLANK(PriceData!J33),"",PriceData!J33)</f>
        <v/>
      </c>
      <c r="K35" s="1" t="str">
        <f>IF(ISBLANK(PriceData!K33),"",PriceData!K33)</f>
        <v/>
      </c>
      <c r="L35" s="1" t="str">
        <f>IF(ISBLANK(PriceData!L33),"",PriceData!L33)</f>
        <v/>
      </c>
      <c r="M35" s="1" t="str">
        <f>IF(ISBLANK(PriceData!M33),"",PriceData!M33)</f>
        <v/>
      </c>
      <c r="N35" s="1" t="str">
        <f>IF(ISBLANK(PriceData!N33),"",PriceData!N33)</f>
        <v/>
      </c>
      <c r="O35" s="1" t="str">
        <f>IF(ISBLANK(PriceData!O33),"",PriceData!O33)</f>
        <v/>
      </c>
      <c r="P35" s="1" t="str">
        <f>IF(ISBLANK(PriceData!P33),"",PriceData!P33)</f>
        <v/>
      </c>
      <c r="Q35" s="1" t="str">
        <f>IF(ISBLANK(PriceData!Q33),"",PriceData!Q33)</f>
        <v/>
      </c>
      <c r="R35" s="1" t="str">
        <f>IF(ISBLANK(PriceData!R33),"",PriceData!R33)</f>
        <v/>
      </c>
      <c r="S35" s="1" t="str">
        <f>IF(ISBLANK(PriceData!S33),"",PriceData!S33)</f>
        <v/>
      </c>
      <c r="T35" s="1" t="str">
        <f>IF(ISBLANK(PriceData!T33),"",PriceData!T33)</f>
        <v/>
      </c>
      <c r="U35" s="1" t="str">
        <f>IF(ISBLANK(PriceData!U33),"",PriceData!U33)</f>
        <v/>
      </c>
      <c r="V35" s="1" t="str">
        <f>IF(ISBLANK(PriceData!V33),"",PriceData!V33)</f>
        <v/>
      </c>
      <c r="W35" s="1" t="str">
        <f>IF(ISBLANK(PriceData!W33),"",PriceData!W33)</f>
        <v/>
      </c>
      <c r="X35" s="1" t="str">
        <f>IF(ISBLANK(PriceData!X33),"",PriceData!X33)</f>
        <v/>
      </c>
      <c r="Y35" s="1" t="str">
        <f>IF(ISBLANK(PriceData!Y33),"",PriceData!Y33)</f>
        <v/>
      </c>
      <c r="Z35" s="1" t="str">
        <f>IF(ISBLANK(PriceData!Z33),"",PriceData!Z33)</f>
        <v/>
      </c>
      <c r="AA35" s="1" t="str">
        <f>IF(ISBLANK(PriceData!AA33),"",PriceData!AA33)</f>
        <v/>
      </c>
      <c r="AB35" s="1" t="str">
        <f>IF(ISBLANK(PriceData!AB33),"",PriceData!AB33)</f>
        <v/>
      </c>
      <c r="AC35" s="1" t="str">
        <f>IF(ISBLANK(PriceData!AC33),"",PriceData!AC33)</f>
        <v/>
      </c>
      <c r="AD35" s="1" t="str">
        <f>IF(ISBLANK(PriceData!AD33),"",PriceData!AD33)</f>
        <v/>
      </c>
      <c r="AE35" s="1" t="str">
        <f>IF(ISBLANK(PriceData!AE33),"",PriceData!AE33)</f>
        <v/>
      </c>
      <c r="AF35" s="1" t="str">
        <f>IF(ISBLANK(PriceData!AF33),"",PriceData!AF33)</f>
        <v/>
      </c>
      <c r="AG35" s="1" t="str">
        <f>IF(ISBLANK(PriceData!AG33),"",PriceData!AG33)</f>
        <v/>
      </c>
      <c r="AH35" s="1" t="str">
        <f>IF(ISBLANK(PriceData!AH33),"",PriceData!AH33)</f>
        <v/>
      </c>
      <c r="AI35" s="1" t="str">
        <f>IF(ISBLANK(PriceData!AI33),"",PriceData!AI33)</f>
        <v/>
      </c>
      <c r="AJ35" s="1" t="str">
        <f>IF(ISBLANK(PriceData!AJ33),"",PriceData!AJ33)</f>
        <v/>
      </c>
      <c r="AK35" s="1" t="str">
        <f>IF(ISBLANK(PriceData!AK33),"",PriceData!AK33)</f>
        <v/>
      </c>
      <c r="AL35" s="1" t="str">
        <f>IF(ISBLANK(PriceData!AL33),"",PriceData!AL33)</f>
        <v/>
      </c>
      <c r="AM35" s="1" t="str">
        <f>IF(ISBLANK(PriceData!AM33),"",PriceData!AM33)</f>
        <v/>
      </c>
      <c r="AN35" s="1" t="str">
        <f>IF(ISBLANK(PriceData!AN33),"",PriceData!AN33)</f>
        <v/>
      </c>
      <c r="AO35" s="1" t="str">
        <f>IF(ISBLANK(PriceData!AO33),"",PriceData!AO33)</f>
        <v/>
      </c>
      <c r="AP35" s="1" t="str">
        <f>IF(ISBLANK(PriceData!AP33),"",PriceData!AP33)</f>
        <v/>
      </c>
      <c r="AQ35" s="1" t="str">
        <f>IF(ISBLANK(PriceData!AQ33),"",PriceData!AQ33)</f>
        <v/>
      </c>
      <c r="AR35" s="1" t="str">
        <f>IF(ISBLANK(PriceData!AR33),"",PriceData!AR33)</f>
        <v/>
      </c>
      <c r="AS35" s="1" t="str">
        <f>IF(ISBLANK(PriceData!AS33),"",PriceData!AS33)</f>
        <v/>
      </c>
      <c r="AT35" s="1" t="str">
        <f>IF(ISBLANK(PriceData!AT33),"",PriceData!AT33)</f>
        <v/>
      </c>
      <c r="AU35" s="1" t="str">
        <f>IF(ISBLANK(PriceData!AU33),"",PriceData!AU33)</f>
        <v/>
      </c>
      <c r="AV35" s="1" t="str">
        <f>IF(ISBLANK(PriceData!AV33),"",PriceData!AV33)</f>
        <v/>
      </c>
      <c r="AW35" s="1" t="str">
        <f>IF(ISBLANK(PriceData!AW33),"",PriceData!AW33)</f>
        <v/>
      </c>
      <c r="AX35" s="1" t="str">
        <f>IF(ISBLANK(PriceData!AX33),"",PriceData!AX33)</f>
        <v/>
      </c>
      <c r="AY35" s="1" t="str">
        <f>IF(ISBLANK(PriceData!AY33),"",PriceData!AY33)</f>
        <v/>
      </c>
      <c r="AZ35" s="1" t="str">
        <f>IF(ISBLANK(PriceData!AZ33),"",PriceData!AZ33)</f>
        <v/>
      </c>
      <c r="BA35" s="1" t="str">
        <f>IF(ISBLANK(PriceData!BA33),"",PriceData!BA33)</f>
        <v/>
      </c>
      <c r="BB35" s="1" t="str">
        <f>IF(ISBLANK(PriceData!BB33),"",PriceData!BB33)</f>
        <v/>
      </c>
      <c r="BC35" s="1" t="str">
        <f>IF(ISBLANK(PriceData!BC33),"",PriceData!BC33)</f>
        <v/>
      </c>
      <c r="BD35" s="1" t="str">
        <f>IF(ISBLANK(PriceData!BD33),"",PriceData!BD33)</f>
        <v/>
      </c>
      <c r="BE35" s="1" t="str">
        <f>IF(ISBLANK(PriceData!BE33),"",PriceData!BE33)</f>
        <v/>
      </c>
      <c r="BF35" s="1" t="str">
        <f>IF(ISBLANK(PriceData!BF33),"",PriceData!BF33)</f>
        <v/>
      </c>
      <c r="BG35" s="1" t="str">
        <f>IF(ISBLANK(PriceData!BG33),"",PriceData!BG33)</f>
        <v/>
      </c>
      <c r="BH35" s="1" t="str">
        <f>IF(ISBLANK(PriceData!BH33),"",PriceData!BH33)</f>
        <v/>
      </c>
      <c r="BI35" s="1" t="str">
        <f>IF(ISBLANK(PriceData!BI33),"",PriceData!BI33)</f>
        <v/>
      </c>
      <c r="BJ35" s="1" t="str">
        <f>IF(ISBLANK(PriceData!BJ33),"",PriceData!BJ33)</f>
        <v/>
      </c>
      <c r="BK35" s="1" t="str">
        <f>IF(ISBLANK(PriceData!BK33),"",PriceData!BK33)</f>
        <v/>
      </c>
      <c r="BL35" s="1" t="str">
        <f>IF(ISBLANK(PriceData!BL33),"",PriceData!BL33)</f>
        <v/>
      </c>
      <c r="BM35" s="1" t="str">
        <f>IF(ISBLANK(PriceData!BM33),"",PriceData!BM33)</f>
        <v/>
      </c>
      <c r="BN35" s="1" t="str">
        <f>IF(ISBLANK(PriceData!BN33),"",PriceData!BN33)</f>
        <v/>
      </c>
      <c r="BO35" s="1" t="str">
        <f>IF(ISBLANK(PriceData!BO33),"",PriceData!BO33)</f>
        <v/>
      </c>
      <c r="BP35" s="1" t="str">
        <f>IF(ISBLANK(PriceData!BP33),"",PriceData!BP33)</f>
        <v/>
      </c>
      <c r="BQ35" s="1" t="str">
        <f>IF(ISBLANK(PriceData!BQ33),"",PriceData!BQ33)</f>
        <v/>
      </c>
      <c r="BR35" s="1" t="str">
        <f>IF(ISBLANK(PriceData!BR33),"",PriceData!BR33)</f>
        <v/>
      </c>
      <c r="BS35" s="1" t="str">
        <f>IF(ISBLANK(PriceData!BS33),"",PriceData!BS33)</f>
        <v/>
      </c>
      <c r="BT35" s="1" t="str">
        <f>IF(ISBLANK(PriceData!BT33),"",PriceData!BT33)</f>
        <v/>
      </c>
      <c r="BU35" s="1" t="str">
        <f>IF(ISBLANK(PriceData!BU33),"",PriceData!BU33)</f>
        <v/>
      </c>
      <c r="BV35" s="1" t="str">
        <f>IF(ISBLANK(PriceData!BV33),"",PriceData!BV33)</f>
        <v/>
      </c>
      <c r="BW35" s="1" t="str">
        <f>IF(ISBLANK(PriceData!BW33),"",PriceData!BW33)</f>
        <v/>
      </c>
      <c r="BX35" s="1" t="str">
        <f>IF(ISBLANK(PriceData!BX33),"",PriceData!BX33)</f>
        <v/>
      </c>
      <c r="BY35" s="1" t="str">
        <f>IF(ISBLANK(PriceData!BY33),"",PriceData!BY33)</f>
        <v/>
      </c>
      <c r="BZ35" s="1" t="str">
        <f>IF(ISBLANK(PriceData!BZ33),"",PriceData!BZ33)</f>
        <v/>
      </c>
      <c r="CA35" s="1" t="str">
        <f>IF(ISBLANK(PriceData!CA33),"",PriceData!CA33)</f>
        <v/>
      </c>
      <c r="CB35" s="1" t="str">
        <f>IF(ISBLANK(PriceData!CB33),"",PriceData!CB33)</f>
        <v/>
      </c>
      <c r="CC35" s="1" t="str">
        <f>IF(ISBLANK(PriceData!CC33),"",PriceData!CC33)</f>
        <v/>
      </c>
      <c r="CD35" s="1" t="str">
        <f>IF(ISBLANK(PriceData!CD33),"",PriceData!CD33)</f>
        <v/>
      </c>
      <c r="CE35" s="1" t="str">
        <f>IF(ISBLANK(PriceData!CE33),"",PriceData!CE33)</f>
        <v/>
      </c>
      <c r="CF35" s="1" t="str">
        <f>IF(ISBLANK(PriceData!CF33),"",PriceData!CF33)</f>
        <v/>
      </c>
      <c r="CG35" s="1" t="str">
        <f>IF(ISBLANK(PriceData!CG33),"",PriceData!CG33)</f>
        <v/>
      </c>
      <c r="CH35" s="1" t="str">
        <f>IF(ISBLANK(PriceData!CH33),"",PriceData!CH33)</f>
        <v/>
      </c>
      <c r="CI35" s="1" t="str">
        <f>IF(ISBLANK(PriceData!CI33),"",PriceData!CI33)</f>
        <v/>
      </c>
      <c r="CJ35" s="1" t="str">
        <f>IF(ISBLANK(PriceData!CJ33),"",PriceData!CJ33)</f>
        <v/>
      </c>
      <c r="CK35" s="1" t="str">
        <f>IF(ISBLANK(PriceData!CK33),"",PriceData!CK33)</f>
        <v/>
      </c>
      <c r="CL35" s="1" t="str">
        <f>IF(ISBLANK(PriceData!CL33),"",PriceData!CL33)</f>
        <v/>
      </c>
      <c r="CM35" s="1" t="str">
        <f>IF(ISBLANK(PriceData!CM33),"",PriceData!CM33)</f>
        <v/>
      </c>
      <c r="CN35" s="1" t="str">
        <f>IF(ISBLANK(PriceData!CN33),"",PriceData!CN33)</f>
        <v/>
      </c>
    </row>
    <row r="36" spans="2:92" x14ac:dyDescent="0.25">
      <c r="B36" s="1" t="str">
        <f>IF(ISBLANK(PriceData!A34),"",PriceData!A34)</f>
        <v/>
      </c>
      <c r="C36" s="1" t="str">
        <f>IF(ISBLANK(PriceData!C34),"",PriceData!C34)</f>
        <v/>
      </c>
      <c r="D36" s="1" t="str">
        <f>IF(ISBLANK(PriceData!D34),"",PriceData!D34)</f>
        <v/>
      </c>
      <c r="E36" s="1" t="str">
        <f>IF(ISBLANK(PriceData!E34),"",PriceData!E34)</f>
        <v/>
      </c>
      <c r="F36" s="1" t="str">
        <f>IF(ISBLANK(PriceData!F34),"",PriceData!F34)</f>
        <v/>
      </c>
      <c r="G36" s="1" t="str">
        <f>IF(ISBLANK(PriceData!G34),"",PriceData!G34)</f>
        <v/>
      </c>
      <c r="H36" s="1" t="str">
        <f>IF(ISBLANK(PriceData!H34),"",PriceData!H34)</f>
        <v/>
      </c>
      <c r="I36" s="1" t="str">
        <f>IF(ISBLANK(PriceData!I34),"",PriceData!I34)</f>
        <v/>
      </c>
      <c r="J36" s="1" t="str">
        <f>IF(ISBLANK(PriceData!J34),"",PriceData!J34)</f>
        <v/>
      </c>
      <c r="K36" s="1" t="str">
        <f>IF(ISBLANK(PriceData!K34),"",PriceData!K34)</f>
        <v/>
      </c>
      <c r="L36" s="1" t="str">
        <f>IF(ISBLANK(PriceData!L34),"",PriceData!L34)</f>
        <v/>
      </c>
      <c r="M36" s="1" t="str">
        <f>IF(ISBLANK(PriceData!M34),"",PriceData!M34)</f>
        <v/>
      </c>
      <c r="N36" s="1" t="str">
        <f>IF(ISBLANK(PriceData!N34),"",PriceData!N34)</f>
        <v/>
      </c>
      <c r="O36" s="1" t="str">
        <f>IF(ISBLANK(PriceData!O34),"",PriceData!O34)</f>
        <v/>
      </c>
      <c r="P36" s="1" t="str">
        <f>IF(ISBLANK(PriceData!P34),"",PriceData!P34)</f>
        <v/>
      </c>
      <c r="Q36" s="1" t="str">
        <f>IF(ISBLANK(PriceData!Q34),"",PriceData!Q34)</f>
        <v/>
      </c>
      <c r="R36" s="1" t="str">
        <f>IF(ISBLANK(PriceData!R34),"",PriceData!R34)</f>
        <v/>
      </c>
      <c r="S36" s="1" t="str">
        <f>IF(ISBLANK(PriceData!S34),"",PriceData!S34)</f>
        <v/>
      </c>
      <c r="T36" s="1" t="str">
        <f>IF(ISBLANK(PriceData!T34),"",PriceData!T34)</f>
        <v/>
      </c>
      <c r="U36" s="1" t="str">
        <f>IF(ISBLANK(PriceData!U34),"",PriceData!U34)</f>
        <v/>
      </c>
      <c r="V36" s="1" t="str">
        <f>IF(ISBLANK(PriceData!V34),"",PriceData!V34)</f>
        <v/>
      </c>
      <c r="W36" s="1" t="str">
        <f>IF(ISBLANK(PriceData!W34),"",PriceData!W34)</f>
        <v/>
      </c>
      <c r="X36" s="1" t="str">
        <f>IF(ISBLANK(PriceData!X34),"",PriceData!X34)</f>
        <v/>
      </c>
      <c r="Y36" s="1" t="str">
        <f>IF(ISBLANK(PriceData!Y34),"",PriceData!Y34)</f>
        <v/>
      </c>
      <c r="Z36" s="1" t="str">
        <f>IF(ISBLANK(PriceData!Z34),"",PriceData!Z34)</f>
        <v/>
      </c>
      <c r="AA36" s="1" t="str">
        <f>IF(ISBLANK(PriceData!AA34),"",PriceData!AA34)</f>
        <v/>
      </c>
      <c r="AB36" s="1" t="str">
        <f>IF(ISBLANK(PriceData!AB34),"",PriceData!AB34)</f>
        <v/>
      </c>
      <c r="AC36" s="1" t="str">
        <f>IF(ISBLANK(PriceData!AC34),"",PriceData!AC34)</f>
        <v/>
      </c>
      <c r="AD36" s="1" t="str">
        <f>IF(ISBLANK(PriceData!AD34),"",PriceData!AD34)</f>
        <v/>
      </c>
      <c r="AE36" s="1" t="str">
        <f>IF(ISBLANK(PriceData!AE34),"",PriceData!AE34)</f>
        <v/>
      </c>
      <c r="AF36" s="1" t="str">
        <f>IF(ISBLANK(PriceData!AF34),"",PriceData!AF34)</f>
        <v/>
      </c>
      <c r="AG36" s="1" t="str">
        <f>IF(ISBLANK(PriceData!AG34),"",PriceData!AG34)</f>
        <v/>
      </c>
      <c r="AH36" s="1" t="str">
        <f>IF(ISBLANK(PriceData!AH34),"",PriceData!AH34)</f>
        <v/>
      </c>
      <c r="AI36" s="1" t="str">
        <f>IF(ISBLANK(PriceData!AI34),"",PriceData!AI34)</f>
        <v/>
      </c>
      <c r="AJ36" s="1" t="str">
        <f>IF(ISBLANK(PriceData!AJ34),"",PriceData!AJ34)</f>
        <v/>
      </c>
      <c r="AK36" s="1" t="str">
        <f>IF(ISBLANK(PriceData!AK34),"",PriceData!AK34)</f>
        <v/>
      </c>
      <c r="AL36" s="1" t="str">
        <f>IF(ISBLANK(PriceData!AL34),"",PriceData!AL34)</f>
        <v/>
      </c>
      <c r="AM36" s="1" t="str">
        <f>IF(ISBLANK(PriceData!AM34),"",PriceData!AM34)</f>
        <v/>
      </c>
      <c r="AN36" s="1" t="str">
        <f>IF(ISBLANK(PriceData!AN34),"",PriceData!AN34)</f>
        <v/>
      </c>
      <c r="AO36" s="1" t="str">
        <f>IF(ISBLANK(PriceData!AO34),"",PriceData!AO34)</f>
        <v/>
      </c>
      <c r="AP36" s="1" t="str">
        <f>IF(ISBLANK(PriceData!AP34),"",PriceData!AP34)</f>
        <v/>
      </c>
      <c r="AQ36" s="1" t="str">
        <f>IF(ISBLANK(PriceData!AQ34),"",PriceData!AQ34)</f>
        <v/>
      </c>
      <c r="AR36" s="1" t="str">
        <f>IF(ISBLANK(PriceData!AR34),"",PriceData!AR34)</f>
        <v/>
      </c>
      <c r="AS36" s="1" t="str">
        <f>IF(ISBLANK(PriceData!AS34),"",PriceData!AS34)</f>
        <v/>
      </c>
      <c r="AT36" s="1" t="str">
        <f>IF(ISBLANK(PriceData!AT34),"",PriceData!AT34)</f>
        <v/>
      </c>
      <c r="AU36" s="1" t="str">
        <f>IF(ISBLANK(PriceData!AU34),"",PriceData!AU34)</f>
        <v/>
      </c>
      <c r="AV36" s="1" t="str">
        <f>IF(ISBLANK(PriceData!AV34),"",PriceData!AV34)</f>
        <v/>
      </c>
      <c r="AW36" s="1" t="str">
        <f>IF(ISBLANK(PriceData!AW34),"",PriceData!AW34)</f>
        <v/>
      </c>
      <c r="AX36" s="1" t="str">
        <f>IF(ISBLANK(PriceData!AX34),"",PriceData!AX34)</f>
        <v/>
      </c>
      <c r="AY36" s="1" t="str">
        <f>IF(ISBLANK(PriceData!AY34),"",PriceData!AY34)</f>
        <v/>
      </c>
      <c r="AZ36" s="1" t="str">
        <f>IF(ISBLANK(PriceData!AZ34),"",PriceData!AZ34)</f>
        <v/>
      </c>
      <c r="BA36" s="1" t="str">
        <f>IF(ISBLANK(PriceData!BA34),"",PriceData!BA34)</f>
        <v/>
      </c>
      <c r="BB36" s="1" t="str">
        <f>IF(ISBLANK(PriceData!BB34),"",PriceData!BB34)</f>
        <v/>
      </c>
      <c r="BC36" s="1" t="str">
        <f>IF(ISBLANK(PriceData!BC34),"",PriceData!BC34)</f>
        <v/>
      </c>
      <c r="BD36" s="1" t="str">
        <f>IF(ISBLANK(PriceData!BD34),"",PriceData!BD34)</f>
        <v/>
      </c>
      <c r="BE36" s="1" t="str">
        <f>IF(ISBLANK(PriceData!BE34),"",PriceData!BE34)</f>
        <v/>
      </c>
      <c r="BF36" s="1" t="str">
        <f>IF(ISBLANK(PriceData!BF34),"",PriceData!BF34)</f>
        <v/>
      </c>
      <c r="BG36" s="1" t="str">
        <f>IF(ISBLANK(PriceData!BG34),"",PriceData!BG34)</f>
        <v/>
      </c>
      <c r="BH36" s="1" t="str">
        <f>IF(ISBLANK(PriceData!BH34),"",PriceData!BH34)</f>
        <v/>
      </c>
      <c r="BI36" s="1" t="str">
        <f>IF(ISBLANK(PriceData!BI34),"",PriceData!BI34)</f>
        <v/>
      </c>
      <c r="BJ36" s="1" t="str">
        <f>IF(ISBLANK(PriceData!BJ34),"",PriceData!BJ34)</f>
        <v/>
      </c>
      <c r="BK36" s="1" t="str">
        <f>IF(ISBLANK(PriceData!BK34),"",PriceData!BK34)</f>
        <v/>
      </c>
      <c r="BL36" s="1" t="str">
        <f>IF(ISBLANK(PriceData!BL34),"",PriceData!BL34)</f>
        <v/>
      </c>
      <c r="BM36" s="1" t="str">
        <f>IF(ISBLANK(PriceData!BM34),"",PriceData!BM34)</f>
        <v/>
      </c>
      <c r="BN36" s="1" t="str">
        <f>IF(ISBLANK(PriceData!BN34),"",PriceData!BN34)</f>
        <v/>
      </c>
      <c r="BO36" s="1" t="str">
        <f>IF(ISBLANK(PriceData!BO34),"",PriceData!BO34)</f>
        <v/>
      </c>
      <c r="BP36" s="1" t="str">
        <f>IF(ISBLANK(PriceData!BP34),"",PriceData!BP34)</f>
        <v/>
      </c>
      <c r="BQ36" s="1" t="str">
        <f>IF(ISBLANK(PriceData!BQ34),"",PriceData!BQ34)</f>
        <v/>
      </c>
      <c r="BR36" s="1" t="str">
        <f>IF(ISBLANK(PriceData!BR34),"",PriceData!BR34)</f>
        <v/>
      </c>
      <c r="BS36" s="1" t="str">
        <f>IF(ISBLANK(PriceData!BS34),"",PriceData!BS34)</f>
        <v/>
      </c>
      <c r="BT36" s="1" t="str">
        <f>IF(ISBLANK(PriceData!BT34),"",PriceData!BT34)</f>
        <v/>
      </c>
      <c r="BU36" s="1" t="str">
        <f>IF(ISBLANK(PriceData!BU34),"",PriceData!BU34)</f>
        <v/>
      </c>
      <c r="BV36" s="1" t="str">
        <f>IF(ISBLANK(PriceData!BV34),"",PriceData!BV34)</f>
        <v/>
      </c>
      <c r="BW36" s="1" t="str">
        <f>IF(ISBLANK(PriceData!BW34),"",PriceData!BW34)</f>
        <v/>
      </c>
      <c r="BX36" s="1" t="str">
        <f>IF(ISBLANK(PriceData!BX34),"",PriceData!BX34)</f>
        <v/>
      </c>
      <c r="BY36" s="1" t="str">
        <f>IF(ISBLANK(PriceData!BY34),"",PriceData!BY34)</f>
        <v/>
      </c>
      <c r="BZ36" s="1" t="str">
        <f>IF(ISBLANK(PriceData!BZ34),"",PriceData!BZ34)</f>
        <v/>
      </c>
      <c r="CA36" s="1" t="str">
        <f>IF(ISBLANK(PriceData!CA34),"",PriceData!CA34)</f>
        <v/>
      </c>
      <c r="CB36" s="1" t="str">
        <f>IF(ISBLANK(PriceData!CB34),"",PriceData!CB34)</f>
        <v/>
      </c>
      <c r="CC36" s="1" t="str">
        <f>IF(ISBLANK(PriceData!CC34),"",PriceData!CC34)</f>
        <v/>
      </c>
      <c r="CD36" s="1" t="str">
        <f>IF(ISBLANK(PriceData!CD34),"",PriceData!CD34)</f>
        <v/>
      </c>
      <c r="CE36" s="1" t="str">
        <f>IF(ISBLANK(PriceData!CE34),"",PriceData!CE34)</f>
        <v/>
      </c>
      <c r="CF36" s="1" t="str">
        <f>IF(ISBLANK(PriceData!CF34),"",PriceData!CF34)</f>
        <v/>
      </c>
      <c r="CG36" s="1" t="str">
        <f>IF(ISBLANK(PriceData!CG34),"",PriceData!CG34)</f>
        <v/>
      </c>
      <c r="CH36" s="1" t="str">
        <f>IF(ISBLANK(PriceData!CH34),"",PriceData!CH34)</f>
        <v/>
      </c>
      <c r="CI36" s="1" t="str">
        <f>IF(ISBLANK(PriceData!CI34),"",PriceData!CI34)</f>
        <v/>
      </c>
      <c r="CJ36" s="1" t="str">
        <f>IF(ISBLANK(PriceData!CJ34),"",PriceData!CJ34)</f>
        <v/>
      </c>
      <c r="CK36" s="1" t="str">
        <f>IF(ISBLANK(PriceData!CK34),"",PriceData!CK34)</f>
        <v/>
      </c>
      <c r="CL36" s="1" t="str">
        <f>IF(ISBLANK(PriceData!CL34),"",PriceData!CL34)</f>
        <v/>
      </c>
      <c r="CM36" s="1" t="str">
        <f>IF(ISBLANK(PriceData!CM34),"",PriceData!CM34)</f>
        <v/>
      </c>
      <c r="CN36" s="1" t="str">
        <f>IF(ISBLANK(PriceData!CN34),"",PriceData!CN34)</f>
        <v/>
      </c>
    </row>
    <row r="37" spans="2:92" x14ac:dyDescent="0.25">
      <c r="B37" s="1" t="str">
        <f>IF(ISBLANK(PriceData!A35),"",PriceData!A35)</f>
        <v/>
      </c>
      <c r="C37" s="1" t="str">
        <f>IF(ISBLANK(PriceData!C35),"",PriceData!C35)</f>
        <v/>
      </c>
      <c r="D37" s="1" t="str">
        <f>IF(ISBLANK(PriceData!D35),"",PriceData!D35)</f>
        <v/>
      </c>
      <c r="E37" s="1" t="str">
        <f>IF(ISBLANK(PriceData!E35),"",PriceData!E35)</f>
        <v/>
      </c>
      <c r="F37" s="1" t="str">
        <f>IF(ISBLANK(PriceData!F35),"",PriceData!F35)</f>
        <v/>
      </c>
      <c r="G37" s="1" t="str">
        <f>IF(ISBLANK(PriceData!G35),"",PriceData!G35)</f>
        <v/>
      </c>
      <c r="H37" s="1" t="str">
        <f>IF(ISBLANK(PriceData!H35),"",PriceData!H35)</f>
        <v/>
      </c>
      <c r="I37" s="1" t="str">
        <f>IF(ISBLANK(PriceData!I35),"",PriceData!I35)</f>
        <v/>
      </c>
      <c r="J37" s="1" t="str">
        <f>IF(ISBLANK(PriceData!J35),"",PriceData!J35)</f>
        <v/>
      </c>
      <c r="K37" s="1" t="str">
        <f>IF(ISBLANK(PriceData!K35),"",PriceData!K35)</f>
        <v/>
      </c>
      <c r="L37" s="1" t="str">
        <f>IF(ISBLANK(PriceData!L35),"",PriceData!L35)</f>
        <v/>
      </c>
      <c r="M37" s="1" t="str">
        <f>IF(ISBLANK(PriceData!M35),"",PriceData!M35)</f>
        <v/>
      </c>
      <c r="N37" s="1" t="str">
        <f>IF(ISBLANK(PriceData!N35),"",PriceData!N35)</f>
        <v/>
      </c>
      <c r="O37" s="1" t="str">
        <f>IF(ISBLANK(PriceData!O35),"",PriceData!O35)</f>
        <v/>
      </c>
      <c r="P37" s="1" t="str">
        <f>IF(ISBLANK(PriceData!P35),"",PriceData!P35)</f>
        <v/>
      </c>
      <c r="Q37" s="1" t="str">
        <f>IF(ISBLANK(PriceData!Q35),"",PriceData!Q35)</f>
        <v/>
      </c>
      <c r="R37" s="1" t="str">
        <f>IF(ISBLANK(PriceData!R35),"",PriceData!R35)</f>
        <v/>
      </c>
      <c r="S37" s="1" t="str">
        <f>IF(ISBLANK(PriceData!S35),"",PriceData!S35)</f>
        <v/>
      </c>
      <c r="T37" s="1" t="str">
        <f>IF(ISBLANK(PriceData!T35),"",PriceData!T35)</f>
        <v/>
      </c>
      <c r="U37" s="1" t="str">
        <f>IF(ISBLANK(PriceData!U35),"",PriceData!U35)</f>
        <v/>
      </c>
      <c r="V37" s="1" t="str">
        <f>IF(ISBLANK(PriceData!V35),"",PriceData!V35)</f>
        <v/>
      </c>
      <c r="W37" s="1" t="str">
        <f>IF(ISBLANK(PriceData!W35),"",PriceData!W35)</f>
        <v/>
      </c>
      <c r="X37" s="1" t="str">
        <f>IF(ISBLANK(PriceData!X35),"",PriceData!X35)</f>
        <v/>
      </c>
      <c r="Y37" s="1" t="str">
        <f>IF(ISBLANK(PriceData!Y35),"",PriceData!Y35)</f>
        <v/>
      </c>
      <c r="Z37" s="1" t="str">
        <f>IF(ISBLANK(PriceData!Z35),"",PriceData!Z35)</f>
        <v/>
      </c>
      <c r="AA37" s="1" t="str">
        <f>IF(ISBLANK(PriceData!AA35),"",PriceData!AA35)</f>
        <v/>
      </c>
      <c r="AB37" s="1" t="str">
        <f>IF(ISBLANK(PriceData!AB35),"",PriceData!AB35)</f>
        <v/>
      </c>
      <c r="AC37" s="1" t="str">
        <f>IF(ISBLANK(PriceData!AC35),"",PriceData!AC35)</f>
        <v/>
      </c>
      <c r="AD37" s="1" t="str">
        <f>IF(ISBLANK(PriceData!AD35),"",PriceData!AD35)</f>
        <v/>
      </c>
      <c r="AE37" s="1" t="str">
        <f>IF(ISBLANK(PriceData!AE35),"",PriceData!AE35)</f>
        <v/>
      </c>
      <c r="AF37" s="1" t="str">
        <f>IF(ISBLANK(PriceData!AF35),"",PriceData!AF35)</f>
        <v/>
      </c>
      <c r="AG37" s="1" t="str">
        <f>IF(ISBLANK(PriceData!AG35),"",PriceData!AG35)</f>
        <v/>
      </c>
      <c r="AH37" s="1" t="str">
        <f>IF(ISBLANK(PriceData!AH35),"",PriceData!AH35)</f>
        <v/>
      </c>
      <c r="AI37" s="1" t="str">
        <f>IF(ISBLANK(PriceData!AI35),"",PriceData!AI35)</f>
        <v/>
      </c>
      <c r="AJ37" s="1" t="str">
        <f>IF(ISBLANK(PriceData!AJ35),"",PriceData!AJ35)</f>
        <v/>
      </c>
      <c r="AK37" s="1" t="str">
        <f>IF(ISBLANK(PriceData!AK35),"",PriceData!AK35)</f>
        <v/>
      </c>
      <c r="AL37" s="1" t="str">
        <f>IF(ISBLANK(PriceData!AL35),"",PriceData!AL35)</f>
        <v/>
      </c>
      <c r="AM37" s="1" t="str">
        <f>IF(ISBLANK(PriceData!AM35),"",PriceData!AM35)</f>
        <v/>
      </c>
      <c r="AN37" s="1" t="str">
        <f>IF(ISBLANK(PriceData!AN35),"",PriceData!AN35)</f>
        <v/>
      </c>
      <c r="AO37" s="1" t="str">
        <f>IF(ISBLANK(PriceData!AO35),"",PriceData!AO35)</f>
        <v/>
      </c>
      <c r="AP37" s="1" t="str">
        <f>IF(ISBLANK(PriceData!AP35),"",PriceData!AP35)</f>
        <v/>
      </c>
      <c r="AQ37" s="1" t="str">
        <f>IF(ISBLANK(PriceData!AQ35),"",PriceData!AQ35)</f>
        <v/>
      </c>
      <c r="AR37" s="1" t="str">
        <f>IF(ISBLANK(PriceData!AR35),"",PriceData!AR35)</f>
        <v/>
      </c>
      <c r="AS37" s="1" t="str">
        <f>IF(ISBLANK(PriceData!AS35),"",PriceData!AS35)</f>
        <v/>
      </c>
      <c r="AT37" s="1" t="str">
        <f>IF(ISBLANK(PriceData!AT35),"",PriceData!AT35)</f>
        <v/>
      </c>
      <c r="AU37" s="1" t="str">
        <f>IF(ISBLANK(PriceData!AU35),"",PriceData!AU35)</f>
        <v/>
      </c>
      <c r="AV37" s="1" t="str">
        <f>IF(ISBLANK(PriceData!AV35),"",PriceData!AV35)</f>
        <v/>
      </c>
      <c r="AW37" s="1" t="str">
        <f>IF(ISBLANK(PriceData!AW35),"",PriceData!AW35)</f>
        <v/>
      </c>
      <c r="AX37" s="1" t="str">
        <f>IF(ISBLANK(PriceData!AX35),"",PriceData!AX35)</f>
        <v/>
      </c>
      <c r="AY37" s="1" t="str">
        <f>IF(ISBLANK(PriceData!AY35),"",PriceData!AY35)</f>
        <v/>
      </c>
      <c r="AZ37" s="1" t="str">
        <f>IF(ISBLANK(PriceData!AZ35),"",PriceData!AZ35)</f>
        <v/>
      </c>
      <c r="BA37" s="1" t="str">
        <f>IF(ISBLANK(PriceData!BA35),"",PriceData!BA35)</f>
        <v/>
      </c>
      <c r="BB37" s="1" t="str">
        <f>IF(ISBLANK(PriceData!BB35),"",PriceData!BB35)</f>
        <v/>
      </c>
      <c r="BC37" s="1" t="str">
        <f>IF(ISBLANK(PriceData!BC35),"",PriceData!BC35)</f>
        <v/>
      </c>
      <c r="BD37" s="1" t="str">
        <f>IF(ISBLANK(PriceData!BD35),"",PriceData!BD35)</f>
        <v/>
      </c>
      <c r="BE37" s="1" t="str">
        <f>IF(ISBLANK(PriceData!BE35),"",PriceData!BE35)</f>
        <v/>
      </c>
      <c r="BF37" s="1" t="str">
        <f>IF(ISBLANK(PriceData!BF35),"",PriceData!BF35)</f>
        <v/>
      </c>
      <c r="BG37" s="1" t="str">
        <f>IF(ISBLANK(PriceData!BG35),"",PriceData!BG35)</f>
        <v/>
      </c>
      <c r="BH37" s="1" t="str">
        <f>IF(ISBLANK(PriceData!BH35),"",PriceData!BH35)</f>
        <v/>
      </c>
      <c r="BI37" s="1" t="str">
        <f>IF(ISBLANK(PriceData!BI35),"",PriceData!BI35)</f>
        <v/>
      </c>
      <c r="BJ37" s="1" t="str">
        <f>IF(ISBLANK(PriceData!BJ35),"",PriceData!BJ35)</f>
        <v/>
      </c>
      <c r="BK37" s="1" t="str">
        <f>IF(ISBLANK(PriceData!BK35),"",PriceData!BK35)</f>
        <v/>
      </c>
      <c r="BL37" s="1" t="str">
        <f>IF(ISBLANK(PriceData!BL35),"",PriceData!BL35)</f>
        <v/>
      </c>
      <c r="BM37" s="1" t="str">
        <f>IF(ISBLANK(PriceData!BM35),"",PriceData!BM35)</f>
        <v/>
      </c>
      <c r="BN37" s="1" t="str">
        <f>IF(ISBLANK(PriceData!BN35),"",PriceData!BN35)</f>
        <v/>
      </c>
      <c r="BO37" s="1" t="str">
        <f>IF(ISBLANK(PriceData!BO35),"",PriceData!BO35)</f>
        <v/>
      </c>
      <c r="BP37" s="1" t="str">
        <f>IF(ISBLANK(PriceData!BP35),"",PriceData!BP35)</f>
        <v/>
      </c>
      <c r="BQ37" s="1" t="str">
        <f>IF(ISBLANK(PriceData!BQ35),"",PriceData!BQ35)</f>
        <v/>
      </c>
      <c r="BR37" s="1" t="str">
        <f>IF(ISBLANK(PriceData!BR35),"",PriceData!BR35)</f>
        <v/>
      </c>
      <c r="BS37" s="1" t="str">
        <f>IF(ISBLANK(PriceData!BS35),"",PriceData!BS35)</f>
        <v/>
      </c>
      <c r="BT37" s="1" t="str">
        <f>IF(ISBLANK(PriceData!BT35),"",PriceData!BT35)</f>
        <v/>
      </c>
      <c r="BU37" s="1" t="str">
        <f>IF(ISBLANK(PriceData!BU35),"",PriceData!BU35)</f>
        <v/>
      </c>
      <c r="BV37" s="1" t="str">
        <f>IF(ISBLANK(PriceData!BV35),"",PriceData!BV35)</f>
        <v/>
      </c>
      <c r="BW37" s="1" t="str">
        <f>IF(ISBLANK(PriceData!BW35),"",PriceData!BW35)</f>
        <v/>
      </c>
      <c r="BX37" s="1" t="str">
        <f>IF(ISBLANK(PriceData!BX35),"",PriceData!BX35)</f>
        <v/>
      </c>
      <c r="BY37" s="1" t="str">
        <f>IF(ISBLANK(PriceData!BY35),"",PriceData!BY35)</f>
        <v/>
      </c>
      <c r="BZ37" s="1" t="str">
        <f>IF(ISBLANK(PriceData!BZ35),"",PriceData!BZ35)</f>
        <v/>
      </c>
      <c r="CA37" s="1" t="str">
        <f>IF(ISBLANK(PriceData!CA35),"",PriceData!CA35)</f>
        <v/>
      </c>
      <c r="CB37" s="1" t="str">
        <f>IF(ISBLANK(PriceData!CB35),"",PriceData!CB35)</f>
        <v/>
      </c>
      <c r="CC37" s="1" t="str">
        <f>IF(ISBLANK(PriceData!CC35),"",PriceData!CC35)</f>
        <v/>
      </c>
      <c r="CD37" s="1" t="str">
        <f>IF(ISBLANK(PriceData!CD35),"",PriceData!CD35)</f>
        <v/>
      </c>
      <c r="CE37" s="1" t="str">
        <f>IF(ISBLANK(PriceData!CE35),"",PriceData!CE35)</f>
        <v/>
      </c>
      <c r="CF37" s="1" t="str">
        <f>IF(ISBLANK(PriceData!CF35),"",PriceData!CF35)</f>
        <v/>
      </c>
      <c r="CG37" s="1" t="str">
        <f>IF(ISBLANK(PriceData!CG35),"",PriceData!CG35)</f>
        <v/>
      </c>
      <c r="CH37" s="1" t="str">
        <f>IF(ISBLANK(PriceData!CH35),"",PriceData!CH35)</f>
        <v/>
      </c>
      <c r="CI37" s="1" t="str">
        <f>IF(ISBLANK(PriceData!CI35),"",PriceData!CI35)</f>
        <v/>
      </c>
      <c r="CJ37" s="1" t="str">
        <f>IF(ISBLANK(PriceData!CJ35),"",PriceData!CJ35)</f>
        <v/>
      </c>
      <c r="CK37" s="1" t="str">
        <f>IF(ISBLANK(PriceData!CK35),"",PriceData!CK35)</f>
        <v/>
      </c>
      <c r="CL37" s="1" t="str">
        <f>IF(ISBLANK(PriceData!CL35),"",PriceData!CL35)</f>
        <v/>
      </c>
      <c r="CM37" s="1" t="str">
        <f>IF(ISBLANK(PriceData!CM35),"",PriceData!CM35)</f>
        <v/>
      </c>
      <c r="CN37" s="1" t="str">
        <f>IF(ISBLANK(PriceData!CN35),"",PriceData!CN35)</f>
        <v/>
      </c>
    </row>
    <row r="38" spans="2:92" x14ac:dyDescent="0.25">
      <c r="B38" s="1" t="str">
        <f>IF(ISBLANK(PriceData!A36),"",PriceData!A36)</f>
        <v/>
      </c>
      <c r="C38" s="1" t="str">
        <f>IF(ISBLANK(PriceData!C36),"",PriceData!C36)</f>
        <v/>
      </c>
      <c r="D38" s="1" t="str">
        <f>IF(ISBLANK(PriceData!D36),"",PriceData!D36)</f>
        <v/>
      </c>
      <c r="E38" s="1" t="str">
        <f>IF(ISBLANK(PriceData!E36),"",PriceData!E36)</f>
        <v/>
      </c>
      <c r="F38" s="1" t="str">
        <f>IF(ISBLANK(PriceData!F36),"",PriceData!F36)</f>
        <v/>
      </c>
      <c r="G38" s="1" t="str">
        <f>IF(ISBLANK(PriceData!G36),"",PriceData!G36)</f>
        <v/>
      </c>
      <c r="H38" s="1" t="str">
        <f>IF(ISBLANK(PriceData!H36),"",PriceData!H36)</f>
        <v/>
      </c>
      <c r="I38" s="1" t="str">
        <f>IF(ISBLANK(PriceData!I36),"",PriceData!I36)</f>
        <v/>
      </c>
      <c r="J38" s="1" t="str">
        <f>IF(ISBLANK(PriceData!J36),"",PriceData!J36)</f>
        <v/>
      </c>
      <c r="K38" s="1" t="str">
        <f>IF(ISBLANK(PriceData!K36),"",PriceData!K36)</f>
        <v/>
      </c>
      <c r="L38" s="1" t="str">
        <f>IF(ISBLANK(PriceData!L36),"",PriceData!L36)</f>
        <v/>
      </c>
      <c r="M38" s="1" t="str">
        <f>IF(ISBLANK(PriceData!M36),"",PriceData!M36)</f>
        <v/>
      </c>
      <c r="N38" s="1" t="str">
        <f>IF(ISBLANK(PriceData!N36),"",PriceData!N36)</f>
        <v/>
      </c>
      <c r="O38" s="1" t="str">
        <f>IF(ISBLANK(PriceData!O36),"",PriceData!O36)</f>
        <v/>
      </c>
      <c r="P38" s="1" t="str">
        <f>IF(ISBLANK(PriceData!P36),"",PriceData!P36)</f>
        <v/>
      </c>
      <c r="Q38" s="1" t="str">
        <f>IF(ISBLANK(PriceData!Q36),"",PriceData!Q36)</f>
        <v/>
      </c>
      <c r="R38" s="1" t="str">
        <f>IF(ISBLANK(PriceData!R36),"",PriceData!R36)</f>
        <v/>
      </c>
      <c r="S38" s="1" t="str">
        <f>IF(ISBLANK(PriceData!S36),"",PriceData!S36)</f>
        <v/>
      </c>
      <c r="T38" s="1" t="str">
        <f>IF(ISBLANK(PriceData!T36),"",PriceData!T36)</f>
        <v/>
      </c>
      <c r="U38" s="1" t="str">
        <f>IF(ISBLANK(PriceData!U36),"",PriceData!U36)</f>
        <v/>
      </c>
      <c r="V38" s="1" t="str">
        <f>IF(ISBLANK(PriceData!V36),"",PriceData!V36)</f>
        <v/>
      </c>
      <c r="W38" s="1" t="str">
        <f>IF(ISBLANK(PriceData!W36),"",PriceData!W36)</f>
        <v/>
      </c>
      <c r="X38" s="1" t="str">
        <f>IF(ISBLANK(PriceData!X36),"",PriceData!X36)</f>
        <v/>
      </c>
      <c r="Y38" s="1" t="str">
        <f>IF(ISBLANK(PriceData!Y36),"",PriceData!Y36)</f>
        <v/>
      </c>
      <c r="Z38" s="1" t="str">
        <f>IF(ISBLANK(PriceData!Z36),"",PriceData!Z36)</f>
        <v/>
      </c>
      <c r="AA38" s="1" t="str">
        <f>IF(ISBLANK(PriceData!AA36),"",PriceData!AA36)</f>
        <v/>
      </c>
      <c r="AB38" s="1" t="str">
        <f>IF(ISBLANK(PriceData!AB36),"",PriceData!AB36)</f>
        <v/>
      </c>
      <c r="AC38" s="1" t="str">
        <f>IF(ISBLANK(PriceData!AC36),"",PriceData!AC36)</f>
        <v/>
      </c>
      <c r="AD38" s="1" t="str">
        <f>IF(ISBLANK(PriceData!AD36),"",PriceData!AD36)</f>
        <v/>
      </c>
      <c r="AE38" s="1" t="str">
        <f>IF(ISBLANK(PriceData!AE36),"",PriceData!AE36)</f>
        <v/>
      </c>
      <c r="AF38" s="1" t="str">
        <f>IF(ISBLANK(PriceData!AF36),"",PriceData!AF36)</f>
        <v/>
      </c>
      <c r="AG38" s="1" t="str">
        <f>IF(ISBLANK(PriceData!AG36),"",PriceData!AG36)</f>
        <v/>
      </c>
      <c r="AH38" s="1" t="str">
        <f>IF(ISBLANK(PriceData!AH36),"",PriceData!AH36)</f>
        <v/>
      </c>
      <c r="AI38" s="1" t="str">
        <f>IF(ISBLANK(PriceData!AI36),"",PriceData!AI36)</f>
        <v/>
      </c>
      <c r="AJ38" s="1" t="str">
        <f>IF(ISBLANK(PriceData!AJ36),"",PriceData!AJ36)</f>
        <v/>
      </c>
      <c r="AK38" s="1" t="str">
        <f>IF(ISBLANK(PriceData!AK36),"",PriceData!AK36)</f>
        <v/>
      </c>
      <c r="AL38" s="1" t="str">
        <f>IF(ISBLANK(PriceData!AL36),"",PriceData!AL36)</f>
        <v/>
      </c>
      <c r="AM38" s="1" t="str">
        <f>IF(ISBLANK(PriceData!AM36),"",PriceData!AM36)</f>
        <v/>
      </c>
      <c r="AN38" s="1" t="str">
        <f>IF(ISBLANK(PriceData!AN36),"",PriceData!AN36)</f>
        <v/>
      </c>
      <c r="AO38" s="1" t="str">
        <f>IF(ISBLANK(PriceData!AO36),"",PriceData!AO36)</f>
        <v/>
      </c>
      <c r="AP38" s="1" t="str">
        <f>IF(ISBLANK(PriceData!AP36),"",PriceData!AP36)</f>
        <v/>
      </c>
      <c r="AQ38" s="1" t="str">
        <f>IF(ISBLANK(PriceData!AQ36),"",PriceData!AQ36)</f>
        <v/>
      </c>
      <c r="AR38" s="1" t="str">
        <f>IF(ISBLANK(PriceData!AR36),"",PriceData!AR36)</f>
        <v/>
      </c>
      <c r="AS38" s="1" t="str">
        <f>IF(ISBLANK(PriceData!AS36),"",PriceData!AS36)</f>
        <v/>
      </c>
      <c r="AT38" s="1" t="str">
        <f>IF(ISBLANK(PriceData!AT36),"",PriceData!AT36)</f>
        <v/>
      </c>
      <c r="AU38" s="1" t="str">
        <f>IF(ISBLANK(PriceData!AU36),"",PriceData!AU36)</f>
        <v/>
      </c>
      <c r="AV38" s="1" t="str">
        <f>IF(ISBLANK(PriceData!AV36),"",PriceData!AV36)</f>
        <v/>
      </c>
      <c r="AW38" s="1" t="str">
        <f>IF(ISBLANK(PriceData!AW36),"",PriceData!AW36)</f>
        <v/>
      </c>
      <c r="AX38" s="1" t="str">
        <f>IF(ISBLANK(PriceData!AX36),"",PriceData!AX36)</f>
        <v/>
      </c>
      <c r="AY38" s="1" t="str">
        <f>IF(ISBLANK(PriceData!AY36),"",PriceData!AY36)</f>
        <v/>
      </c>
      <c r="AZ38" s="1" t="str">
        <f>IF(ISBLANK(PriceData!AZ36),"",PriceData!AZ36)</f>
        <v/>
      </c>
      <c r="BA38" s="1" t="str">
        <f>IF(ISBLANK(PriceData!BA36),"",PriceData!BA36)</f>
        <v/>
      </c>
      <c r="BB38" s="1" t="str">
        <f>IF(ISBLANK(PriceData!BB36),"",PriceData!BB36)</f>
        <v/>
      </c>
      <c r="BC38" s="1" t="str">
        <f>IF(ISBLANK(PriceData!BC36),"",PriceData!BC36)</f>
        <v/>
      </c>
      <c r="BD38" s="1" t="str">
        <f>IF(ISBLANK(PriceData!BD36),"",PriceData!BD36)</f>
        <v/>
      </c>
      <c r="BE38" s="1" t="str">
        <f>IF(ISBLANK(PriceData!BE36),"",PriceData!BE36)</f>
        <v/>
      </c>
      <c r="BF38" s="1" t="str">
        <f>IF(ISBLANK(PriceData!BF36),"",PriceData!BF36)</f>
        <v/>
      </c>
      <c r="BG38" s="1" t="str">
        <f>IF(ISBLANK(PriceData!BG36),"",PriceData!BG36)</f>
        <v/>
      </c>
      <c r="BH38" s="1" t="str">
        <f>IF(ISBLANK(PriceData!BH36),"",PriceData!BH36)</f>
        <v/>
      </c>
      <c r="BI38" s="1" t="str">
        <f>IF(ISBLANK(PriceData!BI36),"",PriceData!BI36)</f>
        <v/>
      </c>
      <c r="BJ38" s="1" t="str">
        <f>IF(ISBLANK(PriceData!BJ36),"",PriceData!BJ36)</f>
        <v/>
      </c>
      <c r="BK38" s="1" t="str">
        <f>IF(ISBLANK(PriceData!BK36),"",PriceData!BK36)</f>
        <v/>
      </c>
      <c r="BL38" s="1" t="str">
        <f>IF(ISBLANK(PriceData!BL36),"",PriceData!BL36)</f>
        <v/>
      </c>
      <c r="BM38" s="1" t="str">
        <f>IF(ISBLANK(PriceData!BM36),"",PriceData!BM36)</f>
        <v/>
      </c>
      <c r="BN38" s="1" t="str">
        <f>IF(ISBLANK(PriceData!BN36),"",PriceData!BN36)</f>
        <v/>
      </c>
      <c r="BO38" s="1" t="str">
        <f>IF(ISBLANK(PriceData!BO36),"",PriceData!BO36)</f>
        <v/>
      </c>
      <c r="BP38" s="1" t="str">
        <f>IF(ISBLANK(PriceData!BP36),"",PriceData!BP36)</f>
        <v/>
      </c>
      <c r="BQ38" s="1" t="str">
        <f>IF(ISBLANK(PriceData!BQ36),"",PriceData!BQ36)</f>
        <v/>
      </c>
      <c r="BR38" s="1" t="str">
        <f>IF(ISBLANK(PriceData!BR36),"",PriceData!BR36)</f>
        <v/>
      </c>
      <c r="BS38" s="1" t="str">
        <f>IF(ISBLANK(PriceData!BS36),"",PriceData!BS36)</f>
        <v/>
      </c>
      <c r="BT38" s="1" t="str">
        <f>IF(ISBLANK(PriceData!BT36),"",PriceData!BT36)</f>
        <v/>
      </c>
      <c r="BU38" s="1" t="str">
        <f>IF(ISBLANK(PriceData!BU36),"",PriceData!BU36)</f>
        <v/>
      </c>
      <c r="BV38" s="1" t="str">
        <f>IF(ISBLANK(PriceData!BV36),"",PriceData!BV36)</f>
        <v/>
      </c>
      <c r="BW38" s="1" t="str">
        <f>IF(ISBLANK(PriceData!BW36),"",PriceData!BW36)</f>
        <v/>
      </c>
      <c r="BX38" s="1" t="str">
        <f>IF(ISBLANK(PriceData!BX36),"",PriceData!BX36)</f>
        <v/>
      </c>
      <c r="BY38" s="1" t="str">
        <f>IF(ISBLANK(PriceData!BY36),"",PriceData!BY36)</f>
        <v/>
      </c>
      <c r="BZ38" s="1" t="str">
        <f>IF(ISBLANK(PriceData!BZ36),"",PriceData!BZ36)</f>
        <v/>
      </c>
      <c r="CA38" s="1" t="str">
        <f>IF(ISBLANK(PriceData!CA36),"",PriceData!CA36)</f>
        <v/>
      </c>
      <c r="CB38" s="1" t="str">
        <f>IF(ISBLANK(PriceData!CB36),"",PriceData!CB36)</f>
        <v/>
      </c>
      <c r="CC38" s="1" t="str">
        <f>IF(ISBLANK(PriceData!CC36),"",PriceData!CC36)</f>
        <v/>
      </c>
      <c r="CD38" s="1" t="str">
        <f>IF(ISBLANK(PriceData!CD36),"",PriceData!CD36)</f>
        <v/>
      </c>
      <c r="CE38" s="1" t="str">
        <f>IF(ISBLANK(PriceData!CE36),"",PriceData!CE36)</f>
        <v/>
      </c>
      <c r="CF38" s="1" t="str">
        <f>IF(ISBLANK(PriceData!CF36),"",PriceData!CF36)</f>
        <v/>
      </c>
      <c r="CG38" s="1" t="str">
        <f>IF(ISBLANK(PriceData!CG36),"",PriceData!CG36)</f>
        <v/>
      </c>
      <c r="CH38" s="1" t="str">
        <f>IF(ISBLANK(PriceData!CH36),"",PriceData!CH36)</f>
        <v/>
      </c>
      <c r="CI38" s="1" t="str">
        <f>IF(ISBLANK(PriceData!CI36),"",PriceData!CI36)</f>
        <v/>
      </c>
      <c r="CJ38" s="1" t="str">
        <f>IF(ISBLANK(PriceData!CJ36),"",PriceData!CJ36)</f>
        <v/>
      </c>
      <c r="CK38" s="1" t="str">
        <f>IF(ISBLANK(PriceData!CK36),"",PriceData!CK36)</f>
        <v/>
      </c>
      <c r="CL38" s="1" t="str">
        <f>IF(ISBLANK(PriceData!CL36),"",PriceData!CL36)</f>
        <v/>
      </c>
      <c r="CM38" s="1" t="str">
        <f>IF(ISBLANK(PriceData!CM36),"",PriceData!CM36)</f>
        <v/>
      </c>
      <c r="CN38" s="1" t="str">
        <f>IF(ISBLANK(PriceData!CN36),"",PriceData!CN36)</f>
        <v/>
      </c>
    </row>
    <row r="39" spans="2:92" x14ac:dyDescent="0.25">
      <c r="B39" s="1" t="str">
        <f>IF(ISBLANK(PriceData!A37),"",PriceData!A37)</f>
        <v/>
      </c>
      <c r="C39" s="1" t="str">
        <f>IF(ISBLANK(PriceData!C37),"",PriceData!C37)</f>
        <v/>
      </c>
      <c r="D39" s="1" t="str">
        <f>IF(ISBLANK(PriceData!D37),"",PriceData!D37)</f>
        <v/>
      </c>
      <c r="E39" s="1" t="str">
        <f>IF(ISBLANK(PriceData!E37),"",PriceData!E37)</f>
        <v/>
      </c>
      <c r="F39" s="1" t="str">
        <f>IF(ISBLANK(PriceData!F37),"",PriceData!F37)</f>
        <v/>
      </c>
      <c r="G39" s="1" t="str">
        <f>IF(ISBLANK(PriceData!G37),"",PriceData!G37)</f>
        <v/>
      </c>
      <c r="H39" s="1" t="str">
        <f>IF(ISBLANK(PriceData!H37),"",PriceData!H37)</f>
        <v/>
      </c>
      <c r="I39" s="1" t="str">
        <f>IF(ISBLANK(PriceData!I37),"",PriceData!I37)</f>
        <v/>
      </c>
      <c r="J39" s="1" t="str">
        <f>IF(ISBLANK(PriceData!J37),"",PriceData!J37)</f>
        <v/>
      </c>
      <c r="K39" s="1" t="str">
        <f>IF(ISBLANK(PriceData!K37),"",PriceData!K37)</f>
        <v/>
      </c>
      <c r="L39" s="1" t="str">
        <f>IF(ISBLANK(PriceData!L37),"",PriceData!L37)</f>
        <v/>
      </c>
      <c r="M39" s="1" t="str">
        <f>IF(ISBLANK(PriceData!M37),"",PriceData!M37)</f>
        <v/>
      </c>
      <c r="N39" s="1" t="str">
        <f>IF(ISBLANK(PriceData!N37),"",PriceData!N37)</f>
        <v/>
      </c>
      <c r="O39" s="1" t="str">
        <f>IF(ISBLANK(PriceData!O37),"",PriceData!O37)</f>
        <v/>
      </c>
      <c r="P39" s="1" t="str">
        <f>IF(ISBLANK(PriceData!P37),"",PriceData!P37)</f>
        <v/>
      </c>
      <c r="Q39" s="1" t="str">
        <f>IF(ISBLANK(PriceData!Q37),"",PriceData!Q37)</f>
        <v/>
      </c>
      <c r="R39" s="1" t="str">
        <f>IF(ISBLANK(PriceData!R37),"",PriceData!R37)</f>
        <v/>
      </c>
      <c r="S39" s="1" t="str">
        <f>IF(ISBLANK(PriceData!S37),"",PriceData!S37)</f>
        <v/>
      </c>
      <c r="T39" s="1" t="str">
        <f>IF(ISBLANK(PriceData!T37),"",PriceData!T37)</f>
        <v/>
      </c>
      <c r="U39" s="1" t="str">
        <f>IF(ISBLANK(PriceData!U37),"",PriceData!U37)</f>
        <v/>
      </c>
      <c r="V39" s="1" t="str">
        <f>IF(ISBLANK(PriceData!V37),"",PriceData!V37)</f>
        <v/>
      </c>
      <c r="W39" s="1" t="str">
        <f>IF(ISBLANK(PriceData!W37),"",PriceData!W37)</f>
        <v/>
      </c>
      <c r="X39" s="1" t="str">
        <f>IF(ISBLANK(PriceData!X37),"",PriceData!X37)</f>
        <v/>
      </c>
      <c r="Y39" s="1" t="str">
        <f>IF(ISBLANK(PriceData!Y37),"",PriceData!Y37)</f>
        <v/>
      </c>
      <c r="Z39" s="1" t="str">
        <f>IF(ISBLANK(PriceData!Z37),"",PriceData!Z37)</f>
        <v/>
      </c>
      <c r="AA39" s="1" t="str">
        <f>IF(ISBLANK(PriceData!AA37),"",PriceData!AA37)</f>
        <v/>
      </c>
      <c r="AB39" s="1" t="str">
        <f>IF(ISBLANK(PriceData!AB37),"",PriceData!AB37)</f>
        <v/>
      </c>
      <c r="AC39" s="1" t="str">
        <f>IF(ISBLANK(PriceData!AC37),"",PriceData!AC37)</f>
        <v/>
      </c>
      <c r="AD39" s="1" t="str">
        <f>IF(ISBLANK(PriceData!AD37),"",PriceData!AD37)</f>
        <v/>
      </c>
      <c r="AE39" s="1" t="str">
        <f>IF(ISBLANK(PriceData!AE37),"",PriceData!AE37)</f>
        <v/>
      </c>
      <c r="AF39" s="1" t="str">
        <f>IF(ISBLANK(PriceData!AF37),"",PriceData!AF37)</f>
        <v/>
      </c>
      <c r="AG39" s="1" t="str">
        <f>IF(ISBLANK(PriceData!AG37),"",PriceData!AG37)</f>
        <v/>
      </c>
      <c r="AH39" s="1" t="str">
        <f>IF(ISBLANK(PriceData!AH37),"",PriceData!AH37)</f>
        <v/>
      </c>
      <c r="AI39" s="1" t="str">
        <f>IF(ISBLANK(PriceData!AI37),"",PriceData!AI37)</f>
        <v/>
      </c>
      <c r="AJ39" s="1" t="str">
        <f>IF(ISBLANK(PriceData!AJ37),"",PriceData!AJ37)</f>
        <v/>
      </c>
      <c r="AK39" s="1" t="str">
        <f>IF(ISBLANK(PriceData!AK37),"",PriceData!AK37)</f>
        <v/>
      </c>
      <c r="AL39" s="1" t="str">
        <f>IF(ISBLANK(PriceData!AL37),"",PriceData!AL37)</f>
        <v/>
      </c>
      <c r="AM39" s="1" t="str">
        <f>IF(ISBLANK(PriceData!AM37),"",PriceData!AM37)</f>
        <v/>
      </c>
      <c r="AN39" s="1" t="str">
        <f>IF(ISBLANK(PriceData!AN37),"",PriceData!AN37)</f>
        <v/>
      </c>
      <c r="AO39" s="1" t="str">
        <f>IF(ISBLANK(PriceData!AO37),"",PriceData!AO37)</f>
        <v/>
      </c>
      <c r="AP39" s="1" t="str">
        <f>IF(ISBLANK(PriceData!AP37),"",PriceData!AP37)</f>
        <v/>
      </c>
      <c r="AQ39" s="1" t="str">
        <f>IF(ISBLANK(PriceData!AQ37),"",PriceData!AQ37)</f>
        <v/>
      </c>
      <c r="AR39" s="1" t="str">
        <f>IF(ISBLANK(PriceData!AR37),"",PriceData!AR37)</f>
        <v/>
      </c>
      <c r="AS39" s="1" t="str">
        <f>IF(ISBLANK(PriceData!AS37),"",PriceData!AS37)</f>
        <v/>
      </c>
      <c r="AT39" s="1" t="str">
        <f>IF(ISBLANK(PriceData!AT37),"",PriceData!AT37)</f>
        <v/>
      </c>
      <c r="AU39" s="1" t="str">
        <f>IF(ISBLANK(PriceData!AU37),"",PriceData!AU37)</f>
        <v/>
      </c>
      <c r="AV39" s="1" t="str">
        <f>IF(ISBLANK(PriceData!AV37),"",PriceData!AV37)</f>
        <v/>
      </c>
      <c r="AW39" s="1" t="str">
        <f>IF(ISBLANK(PriceData!AW37),"",PriceData!AW37)</f>
        <v/>
      </c>
      <c r="AX39" s="1" t="str">
        <f>IF(ISBLANK(PriceData!AX37),"",PriceData!AX37)</f>
        <v/>
      </c>
      <c r="AY39" s="1" t="str">
        <f>IF(ISBLANK(PriceData!AY37),"",PriceData!AY37)</f>
        <v/>
      </c>
      <c r="AZ39" s="1" t="str">
        <f>IF(ISBLANK(PriceData!AZ37),"",PriceData!AZ37)</f>
        <v/>
      </c>
      <c r="BA39" s="1" t="str">
        <f>IF(ISBLANK(PriceData!BA37),"",PriceData!BA37)</f>
        <v/>
      </c>
      <c r="BB39" s="1" t="str">
        <f>IF(ISBLANK(PriceData!BB37),"",PriceData!BB37)</f>
        <v/>
      </c>
      <c r="BC39" s="1" t="str">
        <f>IF(ISBLANK(PriceData!BC37),"",PriceData!BC37)</f>
        <v/>
      </c>
      <c r="BD39" s="1" t="str">
        <f>IF(ISBLANK(PriceData!BD37),"",PriceData!BD37)</f>
        <v/>
      </c>
      <c r="BE39" s="1" t="str">
        <f>IF(ISBLANK(PriceData!BE37),"",PriceData!BE37)</f>
        <v/>
      </c>
      <c r="BF39" s="1" t="str">
        <f>IF(ISBLANK(PriceData!BF37),"",PriceData!BF37)</f>
        <v/>
      </c>
      <c r="BG39" s="1" t="str">
        <f>IF(ISBLANK(PriceData!BG37),"",PriceData!BG37)</f>
        <v/>
      </c>
      <c r="BH39" s="1" t="str">
        <f>IF(ISBLANK(PriceData!BH37),"",PriceData!BH37)</f>
        <v/>
      </c>
      <c r="BI39" s="1" t="str">
        <f>IF(ISBLANK(PriceData!BI37),"",PriceData!BI37)</f>
        <v/>
      </c>
      <c r="BJ39" s="1" t="str">
        <f>IF(ISBLANK(PriceData!BJ37),"",PriceData!BJ37)</f>
        <v/>
      </c>
      <c r="BK39" s="1" t="str">
        <f>IF(ISBLANK(PriceData!BK37),"",PriceData!BK37)</f>
        <v/>
      </c>
      <c r="BL39" s="1" t="str">
        <f>IF(ISBLANK(PriceData!BL37),"",PriceData!BL37)</f>
        <v/>
      </c>
      <c r="BM39" s="1" t="str">
        <f>IF(ISBLANK(PriceData!BM37),"",PriceData!BM37)</f>
        <v/>
      </c>
      <c r="BN39" s="1" t="str">
        <f>IF(ISBLANK(PriceData!BN37),"",PriceData!BN37)</f>
        <v/>
      </c>
      <c r="BO39" s="1" t="str">
        <f>IF(ISBLANK(PriceData!BO37),"",PriceData!BO37)</f>
        <v/>
      </c>
      <c r="BP39" s="1" t="str">
        <f>IF(ISBLANK(PriceData!BP37),"",PriceData!BP37)</f>
        <v/>
      </c>
      <c r="BQ39" s="1" t="str">
        <f>IF(ISBLANK(PriceData!BQ37),"",PriceData!BQ37)</f>
        <v/>
      </c>
      <c r="BR39" s="1" t="str">
        <f>IF(ISBLANK(PriceData!BR37),"",PriceData!BR37)</f>
        <v/>
      </c>
      <c r="BS39" s="1" t="str">
        <f>IF(ISBLANK(PriceData!BS37),"",PriceData!BS37)</f>
        <v/>
      </c>
      <c r="BT39" s="1" t="str">
        <f>IF(ISBLANK(PriceData!BT37),"",PriceData!BT37)</f>
        <v/>
      </c>
      <c r="BU39" s="1" t="str">
        <f>IF(ISBLANK(PriceData!BU37),"",PriceData!BU37)</f>
        <v/>
      </c>
      <c r="BV39" s="1" t="str">
        <f>IF(ISBLANK(PriceData!BV37),"",PriceData!BV37)</f>
        <v/>
      </c>
      <c r="BW39" s="1" t="str">
        <f>IF(ISBLANK(PriceData!BW37),"",PriceData!BW37)</f>
        <v/>
      </c>
      <c r="BX39" s="1" t="str">
        <f>IF(ISBLANK(PriceData!BX37),"",PriceData!BX37)</f>
        <v/>
      </c>
      <c r="BY39" s="1" t="str">
        <f>IF(ISBLANK(PriceData!BY37),"",PriceData!BY37)</f>
        <v/>
      </c>
      <c r="BZ39" s="1" t="str">
        <f>IF(ISBLANK(PriceData!BZ37),"",PriceData!BZ37)</f>
        <v/>
      </c>
      <c r="CA39" s="1" t="str">
        <f>IF(ISBLANK(PriceData!CA37),"",PriceData!CA37)</f>
        <v/>
      </c>
      <c r="CB39" s="1" t="str">
        <f>IF(ISBLANK(PriceData!CB37),"",PriceData!CB37)</f>
        <v/>
      </c>
      <c r="CC39" s="1" t="str">
        <f>IF(ISBLANK(PriceData!CC37),"",PriceData!CC37)</f>
        <v/>
      </c>
      <c r="CD39" s="1" t="str">
        <f>IF(ISBLANK(PriceData!CD37),"",PriceData!CD37)</f>
        <v/>
      </c>
      <c r="CE39" s="1" t="str">
        <f>IF(ISBLANK(PriceData!CE37),"",PriceData!CE37)</f>
        <v/>
      </c>
      <c r="CF39" s="1" t="str">
        <f>IF(ISBLANK(PriceData!CF37),"",PriceData!CF37)</f>
        <v/>
      </c>
      <c r="CG39" s="1" t="str">
        <f>IF(ISBLANK(PriceData!CG37),"",PriceData!CG37)</f>
        <v/>
      </c>
      <c r="CH39" s="1" t="str">
        <f>IF(ISBLANK(PriceData!CH37),"",PriceData!CH37)</f>
        <v/>
      </c>
      <c r="CI39" s="1" t="str">
        <f>IF(ISBLANK(PriceData!CI37),"",PriceData!CI37)</f>
        <v/>
      </c>
      <c r="CJ39" s="1" t="str">
        <f>IF(ISBLANK(PriceData!CJ37),"",PriceData!CJ37)</f>
        <v/>
      </c>
      <c r="CK39" s="1" t="str">
        <f>IF(ISBLANK(PriceData!CK37),"",PriceData!CK37)</f>
        <v/>
      </c>
      <c r="CL39" s="1" t="str">
        <f>IF(ISBLANK(PriceData!CL37),"",PriceData!CL37)</f>
        <v/>
      </c>
      <c r="CM39" s="1" t="str">
        <f>IF(ISBLANK(PriceData!CM37),"",PriceData!CM37)</f>
        <v/>
      </c>
      <c r="CN39" s="1" t="str">
        <f>IF(ISBLANK(PriceData!CN37),"",PriceData!CN37)</f>
        <v/>
      </c>
    </row>
    <row r="40" spans="2:92" x14ac:dyDescent="0.25">
      <c r="B40" s="1" t="str">
        <f>IF(ISBLANK(PriceData!A38),"",PriceData!A38)</f>
        <v/>
      </c>
      <c r="C40" s="1" t="str">
        <f>IF(ISBLANK(PriceData!C38),"",PriceData!C38)</f>
        <v/>
      </c>
      <c r="D40" s="1" t="str">
        <f>IF(ISBLANK(PriceData!D38),"",PriceData!D38)</f>
        <v/>
      </c>
      <c r="E40" s="1" t="str">
        <f>IF(ISBLANK(PriceData!E38),"",PriceData!E38)</f>
        <v/>
      </c>
      <c r="F40" s="1" t="str">
        <f>IF(ISBLANK(PriceData!F38),"",PriceData!F38)</f>
        <v/>
      </c>
      <c r="G40" s="1" t="str">
        <f>IF(ISBLANK(PriceData!G38),"",PriceData!G38)</f>
        <v/>
      </c>
      <c r="H40" s="1" t="str">
        <f>IF(ISBLANK(PriceData!H38),"",PriceData!H38)</f>
        <v/>
      </c>
      <c r="I40" s="1" t="str">
        <f>IF(ISBLANK(PriceData!I38),"",PriceData!I38)</f>
        <v/>
      </c>
      <c r="J40" s="1" t="str">
        <f>IF(ISBLANK(PriceData!J38),"",PriceData!J38)</f>
        <v/>
      </c>
      <c r="K40" s="1" t="str">
        <f>IF(ISBLANK(PriceData!K38),"",PriceData!K38)</f>
        <v/>
      </c>
      <c r="L40" s="1" t="str">
        <f>IF(ISBLANK(PriceData!L38),"",PriceData!L38)</f>
        <v/>
      </c>
      <c r="M40" s="1" t="str">
        <f>IF(ISBLANK(PriceData!M38),"",PriceData!M38)</f>
        <v/>
      </c>
      <c r="N40" s="1" t="str">
        <f>IF(ISBLANK(PriceData!N38),"",PriceData!N38)</f>
        <v/>
      </c>
      <c r="O40" s="1" t="str">
        <f>IF(ISBLANK(PriceData!O38),"",PriceData!O38)</f>
        <v/>
      </c>
      <c r="P40" s="1" t="str">
        <f>IF(ISBLANK(PriceData!P38),"",PriceData!P38)</f>
        <v/>
      </c>
      <c r="Q40" s="1" t="str">
        <f>IF(ISBLANK(PriceData!Q38),"",PriceData!Q38)</f>
        <v/>
      </c>
      <c r="R40" s="1" t="str">
        <f>IF(ISBLANK(PriceData!R38),"",PriceData!R38)</f>
        <v/>
      </c>
      <c r="S40" s="1" t="str">
        <f>IF(ISBLANK(PriceData!S38),"",PriceData!S38)</f>
        <v/>
      </c>
      <c r="T40" s="1" t="str">
        <f>IF(ISBLANK(PriceData!T38),"",PriceData!T38)</f>
        <v/>
      </c>
      <c r="U40" s="1" t="str">
        <f>IF(ISBLANK(PriceData!U38),"",PriceData!U38)</f>
        <v/>
      </c>
      <c r="V40" s="1" t="str">
        <f>IF(ISBLANK(PriceData!V38),"",PriceData!V38)</f>
        <v/>
      </c>
      <c r="W40" s="1" t="str">
        <f>IF(ISBLANK(PriceData!W38),"",PriceData!W38)</f>
        <v/>
      </c>
      <c r="X40" s="1" t="str">
        <f>IF(ISBLANK(PriceData!X38),"",PriceData!X38)</f>
        <v/>
      </c>
      <c r="Y40" s="1" t="str">
        <f>IF(ISBLANK(PriceData!Y38),"",PriceData!Y38)</f>
        <v/>
      </c>
      <c r="Z40" s="1" t="str">
        <f>IF(ISBLANK(PriceData!Z38),"",PriceData!Z38)</f>
        <v/>
      </c>
      <c r="AA40" s="1" t="str">
        <f>IF(ISBLANK(PriceData!AA38),"",PriceData!AA38)</f>
        <v/>
      </c>
      <c r="AB40" s="1" t="str">
        <f>IF(ISBLANK(PriceData!AB38),"",PriceData!AB38)</f>
        <v/>
      </c>
      <c r="AC40" s="1" t="str">
        <f>IF(ISBLANK(PriceData!AC38),"",PriceData!AC38)</f>
        <v/>
      </c>
      <c r="AD40" s="1" t="str">
        <f>IF(ISBLANK(PriceData!AD38),"",PriceData!AD38)</f>
        <v/>
      </c>
      <c r="AE40" s="1" t="str">
        <f>IF(ISBLANK(PriceData!AE38),"",PriceData!AE38)</f>
        <v/>
      </c>
      <c r="AF40" s="1" t="str">
        <f>IF(ISBLANK(PriceData!AF38),"",PriceData!AF38)</f>
        <v/>
      </c>
      <c r="AG40" s="1" t="str">
        <f>IF(ISBLANK(PriceData!AG38),"",PriceData!AG38)</f>
        <v/>
      </c>
      <c r="AH40" s="1" t="str">
        <f>IF(ISBLANK(PriceData!AH38),"",PriceData!AH38)</f>
        <v/>
      </c>
      <c r="AI40" s="1" t="str">
        <f>IF(ISBLANK(PriceData!AI38),"",PriceData!AI38)</f>
        <v/>
      </c>
      <c r="AJ40" s="1" t="str">
        <f>IF(ISBLANK(PriceData!AJ38),"",PriceData!AJ38)</f>
        <v/>
      </c>
      <c r="AK40" s="1" t="str">
        <f>IF(ISBLANK(PriceData!AK38),"",PriceData!AK38)</f>
        <v/>
      </c>
      <c r="AL40" s="1" t="str">
        <f>IF(ISBLANK(PriceData!AL38),"",PriceData!AL38)</f>
        <v/>
      </c>
      <c r="AM40" s="1" t="str">
        <f>IF(ISBLANK(PriceData!AM38),"",PriceData!AM38)</f>
        <v/>
      </c>
      <c r="AN40" s="1" t="str">
        <f>IF(ISBLANK(PriceData!AN38),"",PriceData!AN38)</f>
        <v/>
      </c>
      <c r="AO40" s="1" t="str">
        <f>IF(ISBLANK(PriceData!AO38),"",PriceData!AO38)</f>
        <v/>
      </c>
      <c r="AP40" s="1" t="str">
        <f>IF(ISBLANK(PriceData!AP38),"",PriceData!AP38)</f>
        <v/>
      </c>
      <c r="AQ40" s="1" t="str">
        <f>IF(ISBLANK(PriceData!AQ38),"",PriceData!AQ38)</f>
        <v/>
      </c>
      <c r="AR40" s="1" t="str">
        <f>IF(ISBLANK(PriceData!AR38),"",PriceData!AR38)</f>
        <v/>
      </c>
      <c r="AS40" s="1" t="str">
        <f>IF(ISBLANK(PriceData!AS38),"",PriceData!AS38)</f>
        <v/>
      </c>
      <c r="AT40" s="1" t="str">
        <f>IF(ISBLANK(PriceData!AT38),"",PriceData!AT38)</f>
        <v/>
      </c>
      <c r="AU40" s="1" t="str">
        <f>IF(ISBLANK(PriceData!AU38),"",PriceData!AU38)</f>
        <v/>
      </c>
      <c r="AV40" s="1" t="str">
        <f>IF(ISBLANK(PriceData!AV38),"",PriceData!AV38)</f>
        <v/>
      </c>
      <c r="AW40" s="1" t="str">
        <f>IF(ISBLANK(PriceData!AW38),"",PriceData!AW38)</f>
        <v/>
      </c>
      <c r="AX40" s="1" t="str">
        <f>IF(ISBLANK(PriceData!AX38),"",PriceData!AX38)</f>
        <v/>
      </c>
      <c r="AY40" s="1" t="str">
        <f>IF(ISBLANK(PriceData!AY38),"",PriceData!AY38)</f>
        <v/>
      </c>
      <c r="AZ40" s="1" t="str">
        <f>IF(ISBLANK(PriceData!AZ38),"",PriceData!AZ38)</f>
        <v/>
      </c>
      <c r="BA40" s="1" t="str">
        <f>IF(ISBLANK(PriceData!BA38),"",PriceData!BA38)</f>
        <v/>
      </c>
      <c r="BB40" s="1" t="str">
        <f>IF(ISBLANK(PriceData!BB38),"",PriceData!BB38)</f>
        <v/>
      </c>
      <c r="BC40" s="1" t="str">
        <f>IF(ISBLANK(PriceData!BC38),"",PriceData!BC38)</f>
        <v/>
      </c>
      <c r="BD40" s="1" t="str">
        <f>IF(ISBLANK(PriceData!BD38),"",PriceData!BD38)</f>
        <v/>
      </c>
      <c r="BE40" s="1" t="str">
        <f>IF(ISBLANK(PriceData!BE38),"",PriceData!BE38)</f>
        <v/>
      </c>
      <c r="BF40" s="1" t="str">
        <f>IF(ISBLANK(PriceData!BF38),"",PriceData!BF38)</f>
        <v/>
      </c>
      <c r="BG40" s="1" t="str">
        <f>IF(ISBLANK(PriceData!BG38),"",PriceData!BG38)</f>
        <v/>
      </c>
      <c r="BH40" s="1" t="str">
        <f>IF(ISBLANK(PriceData!BH38),"",PriceData!BH38)</f>
        <v/>
      </c>
      <c r="BI40" s="1" t="str">
        <f>IF(ISBLANK(PriceData!BI38),"",PriceData!BI38)</f>
        <v/>
      </c>
      <c r="BJ40" s="1" t="str">
        <f>IF(ISBLANK(PriceData!BJ38),"",PriceData!BJ38)</f>
        <v/>
      </c>
      <c r="BK40" s="1" t="str">
        <f>IF(ISBLANK(PriceData!BK38),"",PriceData!BK38)</f>
        <v/>
      </c>
      <c r="BL40" s="1" t="str">
        <f>IF(ISBLANK(PriceData!BL38),"",PriceData!BL38)</f>
        <v/>
      </c>
      <c r="BM40" s="1" t="str">
        <f>IF(ISBLANK(PriceData!BM38),"",PriceData!BM38)</f>
        <v/>
      </c>
      <c r="BN40" s="1" t="str">
        <f>IF(ISBLANK(PriceData!BN38),"",PriceData!BN38)</f>
        <v/>
      </c>
      <c r="BO40" s="1" t="str">
        <f>IF(ISBLANK(PriceData!BO38),"",PriceData!BO38)</f>
        <v/>
      </c>
      <c r="BP40" s="1" t="str">
        <f>IF(ISBLANK(PriceData!BP38),"",PriceData!BP38)</f>
        <v/>
      </c>
      <c r="BQ40" s="1" t="str">
        <f>IF(ISBLANK(PriceData!BQ38),"",PriceData!BQ38)</f>
        <v/>
      </c>
      <c r="BR40" s="1" t="str">
        <f>IF(ISBLANK(PriceData!BR38),"",PriceData!BR38)</f>
        <v/>
      </c>
      <c r="BS40" s="1" t="str">
        <f>IF(ISBLANK(PriceData!BS38),"",PriceData!BS38)</f>
        <v/>
      </c>
      <c r="BT40" s="1" t="str">
        <f>IF(ISBLANK(PriceData!BT38),"",PriceData!BT38)</f>
        <v/>
      </c>
      <c r="BU40" s="1" t="str">
        <f>IF(ISBLANK(PriceData!BU38),"",PriceData!BU38)</f>
        <v/>
      </c>
      <c r="BV40" s="1" t="str">
        <f>IF(ISBLANK(PriceData!BV38),"",PriceData!BV38)</f>
        <v/>
      </c>
      <c r="BW40" s="1" t="str">
        <f>IF(ISBLANK(PriceData!BW38),"",PriceData!BW38)</f>
        <v/>
      </c>
      <c r="BX40" s="1" t="str">
        <f>IF(ISBLANK(PriceData!BX38),"",PriceData!BX38)</f>
        <v/>
      </c>
      <c r="BY40" s="1" t="str">
        <f>IF(ISBLANK(PriceData!BY38),"",PriceData!BY38)</f>
        <v/>
      </c>
      <c r="BZ40" s="1" t="str">
        <f>IF(ISBLANK(PriceData!BZ38),"",PriceData!BZ38)</f>
        <v/>
      </c>
      <c r="CA40" s="1" t="str">
        <f>IF(ISBLANK(PriceData!CA38),"",PriceData!CA38)</f>
        <v/>
      </c>
      <c r="CB40" s="1" t="str">
        <f>IF(ISBLANK(PriceData!CB38),"",PriceData!CB38)</f>
        <v/>
      </c>
      <c r="CC40" s="1" t="str">
        <f>IF(ISBLANK(PriceData!CC38),"",PriceData!CC38)</f>
        <v/>
      </c>
      <c r="CD40" s="1" t="str">
        <f>IF(ISBLANK(PriceData!CD38),"",PriceData!CD38)</f>
        <v/>
      </c>
      <c r="CE40" s="1" t="str">
        <f>IF(ISBLANK(PriceData!CE38),"",PriceData!CE38)</f>
        <v/>
      </c>
      <c r="CF40" s="1" t="str">
        <f>IF(ISBLANK(PriceData!CF38),"",PriceData!CF38)</f>
        <v/>
      </c>
      <c r="CG40" s="1" t="str">
        <f>IF(ISBLANK(PriceData!CG38),"",PriceData!CG38)</f>
        <v/>
      </c>
      <c r="CH40" s="1" t="str">
        <f>IF(ISBLANK(PriceData!CH38),"",PriceData!CH38)</f>
        <v/>
      </c>
      <c r="CI40" s="1" t="str">
        <f>IF(ISBLANK(PriceData!CI38),"",PriceData!CI38)</f>
        <v/>
      </c>
      <c r="CJ40" s="1" t="str">
        <f>IF(ISBLANK(PriceData!CJ38),"",PriceData!CJ38)</f>
        <v/>
      </c>
      <c r="CK40" s="1" t="str">
        <f>IF(ISBLANK(PriceData!CK38),"",PriceData!CK38)</f>
        <v/>
      </c>
      <c r="CL40" s="1" t="str">
        <f>IF(ISBLANK(PriceData!CL38),"",PriceData!CL38)</f>
        <v/>
      </c>
      <c r="CM40" s="1" t="str">
        <f>IF(ISBLANK(PriceData!CM38),"",PriceData!CM38)</f>
        <v/>
      </c>
      <c r="CN40" s="1" t="str">
        <f>IF(ISBLANK(PriceData!CN38),"",PriceData!CN38)</f>
        <v/>
      </c>
    </row>
    <row r="41" spans="2:92" x14ac:dyDescent="0.25">
      <c r="B41" s="1" t="str">
        <f>IF(ISBLANK(PriceData!A39),"",PriceData!A39)</f>
        <v/>
      </c>
      <c r="C41" s="1" t="str">
        <f>IF(ISBLANK(PriceData!C39),"",PriceData!C39)</f>
        <v/>
      </c>
      <c r="D41" s="1" t="str">
        <f>IF(ISBLANK(PriceData!D39),"",PriceData!D39)</f>
        <v/>
      </c>
      <c r="E41" s="1" t="str">
        <f>IF(ISBLANK(PriceData!E39),"",PriceData!E39)</f>
        <v/>
      </c>
      <c r="F41" s="1" t="str">
        <f>IF(ISBLANK(PriceData!F39),"",PriceData!F39)</f>
        <v/>
      </c>
      <c r="G41" s="1" t="str">
        <f>IF(ISBLANK(PriceData!G39),"",PriceData!G39)</f>
        <v/>
      </c>
      <c r="H41" s="1" t="str">
        <f>IF(ISBLANK(PriceData!H39),"",PriceData!H39)</f>
        <v/>
      </c>
      <c r="I41" s="1" t="str">
        <f>IF(ISBLANK(PriceData!I39),"",PriceData!I39)</f>
        <v/>
      </c>
      <c r="J41" s="1" t="str">
        <f>IF(ISBLANK(PriceData!J39),"",PriceData!J39)</f>
        <v/>
      </c>
      <c r="K41" s="1" t="str">
        <f>IF(ISBLANK(PriceData!K39),"",PriceData!K39)</f>
        <v/>
      </c>
      <c r="L41" s="1" t="str">
        <f>IF(ISBLANK(PriceData!L39),"",PriceData!L39)</f>
        <v/>
      </c>
      <c r="M41" s="1" t="str">
        <f>IF(ISBLANK(PriceData!M39),"",PriceData!M39)</f>
        <v/>
      </c>
      <c r="N41" s="1" t="str">
        <f>IF(ISBLANK(PriceData!N39),"",PriceData!N39)</f>
        <v/>
      </c>
      <c r="O41" s="1" t="str">
        <f>IF(ISBLANK(PriceData!O39),"",PriceData!O39)</f>
        <v/>
      </c>
      <c r="P41" s="1" t="str">
        <f>IF(ISBLANK(PriceData!P39),"",PriceData!P39)</f>
        <v/>
      </c>
      <c r="Q41" s="1" t="str">
        <f>IF(ISBLANK(PriceData!Q39),"",PriceData!Q39)</f>
        <v/>
      </c>
      <c r="R41" s="1" t="str">
        <f>IF(ISBLANK(PriceData!R39),"",PriceData!R39)</f>
        <v/>
      </c>
      <c r="S41" s="1" t="str">
        <f>IF(ISBLANK(PriceData!S39),"",PriceData!S39)</f>
        <v/>
      </c>
      <c r="T41" s="1" t="str">
        <f>IF(ISBLANK(PriceData!T39),"",PriceData!T39)</f>
        <v/>
      </c>
      <c r="U41" s="1" t="str">
        <f>IF(ISBLANK(PriceData!U39),"",PriceData!U39)</f>
        <v/>
      </c>
      <c r="V41" s="1" t="str">
        <f>IF(ISBLANK(PriceData!V39),"",PriceData!V39)</f>
        <v/>
      </c>
      <c r="W41" s="1" t="str">
        <f>IF(ISBLANK(PriceData!W39),"",PriceData!W39)</f>
        <v/>
      </c>
      <c r="X41" s="1" t="str">
        <f>IF(ISBLANK(PriceData!X39),"",PriceData!X39)</f>
        <v/>
      </c>
      <c r="Y41" s="1" t="str">
        <f>IF(ISBLANK(PriceData!Y39),"",PriceData!Y39)</f>
        <v/>
      </c>
      <c r="Z41" s="1" t="str">
        <f>IF(ISBLANK(PriceData!Z39),"",PriceData!Z39)</f>
        <v/>
      </c>
      <c r="AA41" s="1" t="str">
        <f>IF(ISBLANK(PriceData!AA39),"",PriceData!AA39)</f>
        <v/>
      </c>
      <c r="AB41" s="1" t="str">
        <f>IF(ISBLANK(PriceData!AB39),"",PriceData!AB39)</f>
        <v/>
      </c>
      <c r="AC41" s="1" t="str">
        <f>IF(ISBLANK(PriceData!AC39),"",PriceData!AC39)</f>
        <v/>
      </c>
      <c r="AD41" s="1" t="str">
        <f>IF(ISBLANK(PriceData!AD39),"",PriceData!AD39)</f>
        <v/>
      </c>
      <c r="AE41" s="1" t="str">
        <f>IF(ISBLANK(PriceData!AE39),"",PriceData!AE39)</f>
        <v/>
      </c>
      <c r="AF41" s="1" t="str">
        <f>IF(ISBLANK(PriceData!AF39),"",PriceData!AF39)</f>
        <v/>
      </c>
      <c r="AG41" s="1" t="str">
        <f>IF(ISBLANK(PriceData!AG39),"",PriceData!AG39)</f>
        <v/>
      </c>
      <c r="AH41" s="1" t="str">
        <f>IF(ISBLANK(PriceData!AH39),"",PriceData!AH39)</f>
        <v/>
      </c>
      <c r="AI41" s="1" t="str">
        <f>IF(ISBLANK(PriceData!AI39),"",PriceData!AI39)</f>
        <v/>
      </c>
      <c r="AJ41" s="1" t="str">
        <f>IF(ISBLANK(PriceData!AJ39),"",PriceData!AJ39)</f>
        <v/>
      </c>
      <c r="AK41" s="1" t="str">
        <f>IF(ISBLANK(PriceData!AK39),"",PriceData!AK39)</f>
        <v/>
      </c>
      <c r="AL41" s="1" t="str">
        <f>IF(ISBLANK(PriceData!AL39),"",PriceData!AL39)</f>
        <v/>
      </c>
      <c r="AM41" s="1" t="str">
        <f>IF(ISBLANK(PriceData!AM39),"",PriceData!AM39)</f>
        <v/>
      </c>
      <c r="AN41" s="1" t="str">
        <f>IF(ISBLANK(PriceData!AN39),"",PriceData!AN39)</f>
        <v/>
      </c>
      <c r="AO41" s="1" t="str">
        <f>IF(ISBLANK(PriceData!AO39),"",PriceData!AO39)</f>
        <v/>
      </c>
      <c r="AP41" s="1" t="str">
        <f>IF(ISBLANK(PriceData!AP39),"",PriceData!AP39)</f>
        <v/>
      </c>
      <c r="AQ41" s="1" t="str">
        <f>IF(ISBLANK(PriceData!AQ39),"",PriceData!AQ39)</f>
        <v/>
      </c>
      <c r="AR41" s="1" t="str">
        <f>IF(ISBLANK(PriceData!AR39),"",PriceData!AR39)</f>
        <v/>
      </c>
      <c r="AS41" s="1" t="str">
        <f>IF(ISBLANK(PriceData!AS39),"",PriceData!AS39)</f>
        <v/>
      </c>
      <c r="AT41" s="1" t="str">
        <f>IF(ISBLANK(PriceData!AT39),"",PriceData!AT39)</f>
        <v/>
      </c>
      <c r="AU41" s="1" t="str">
        <f>IF(ISBLANK(PriceData!AU39),"",PriceData!AU39)</f>
        <v/>
      </c>
      <c r="AV41" s="1" t="str">
        <f>IF(ISBLANK(PriceData!AV39),"",PriceData!AV39)</f>
        <v/>
      </c>
      <c r="AW41" s="1" t="str">
        <f>IF(ISBLANK(PriceData!AW39),"",PriceData!AW39)</f>
        <v/>
      </c>
      <c r="AX41" s="1" t="str">
        <f>IF(ISBLANK(PriceData!AX39),"",PriceData!AX39)</f>
        <v/>
      </c>
      <c r="AY41" s="1" t="str">
        <f>IF(ISBLANK(PriceData!AY39),"",PriceData!AY39)</f>
        <v/>
      </c>
      <c r="AZ41" s="1" t="str">
        <f>IF(ISBLANK(PriceData!AZ39),"",PriceData!AZ39)</f>
        <v/>
      </c>
      <c r="BA41" s="1" t="str">
        <f>IF(ISBLANK(PriceData!BA39),"",PriceData!BA39)</f>
        <v/>
      </c>
      <c r="BB41" s="1" t="str">
        <f>IF(ISBLANK(PriceData!BB39),"",PriceData!BB39)</f>
        <v/>
      </c>
      <c r="BC41" s="1" t="str">
        <f>IF(ISBLANK(PriceData!BC39),"",PriceData!BC39)</f>
        <v/>
      </c>
      <c r="BD41" s="1" t="str">
        <f>IF(ISBLANK(PriceData!BD39),"",PriceData!BD39)</f>
        <v/>
      </c>
      <c r="BE41" s="1" t="str">
        <f>IF(ISBLANK(PriceData!BE39),"",PriceData!BE39)</f>
        <v/>
      </c>
      <c r="BF41" s="1" t="str">
        <f>IF(ISBLANK(PriceData!BF39),"",PriceData!BF39)</f>
        <v/>
      </c>
      <c r="BG41" s="1" t="str">
        <f>IF(ISBLANK(PriceData!BG39),"",PriceData!BG39)</f>
        <v/>
      </c>
      <c r="BH41" s="1" t="str">
        <f>IF(ISBLANK(PriceData!BH39),"",PriceData!BH39)</f>
        <v/>
      </c>
      <c r="BI41" s="1" t="str">
        <f>IF(ISBLANK(PriceData!BI39),"",PriceData!BI39)</f>
        <v/>
      </c>
      <c r="BJ41" s="1" t="str">
        <f>IF(ISBLANK(PriceData!BJ39),"",PriceData!BJ39)</f>
        <v/>
      </c>
      <c r="BK41" s="1" t="str">
        <f>IF(ISBLANK(PriceData!BK39),"",PriceData!BK39)</f>
        <v/>
      </c>
      <c r="BL41" s="1" t="str">
        <f>IF(ISBLANK(PriceData!BL39),"",PriceData!BL39)</f>
        <v/>
      </c>
      <c r="BM41" s="1" t="str">
        <f>IF(ISBLANK(PriceData!BM39),"",PriceData!BM39)</f>
        <v/>
      </c>
      <c r="BN41" s="1" t="str">
        <f>IF(ISBLANK(PriceData!BN39),"",PriceData!BN39)</f>
        <v/>
      </c>
      <c r="BO41" s="1" t="str">
        <f>IF(ISBLANK(PriceData!BO39),"",PriceData!BO39)</f>
        <v/>
      </c>
      <c r="BP41" s="1" t="str">
        <f>IF(ISBLANK(PriceData!BP39),"",PriceData!BP39)</f>
        <v/>
      </c>
      <c r="BQ41" s="1" t="str">
        <f>IF(ISBLANK(PriceData!BQ39),"",PriceData!BQ39)</f>
        <v/>
      </c>
      <c r="BR41" s="1" t="str">
        <f>IF(ISBLANK(PriceData!BR39),"",PriceData!BR39)</f>
        <v/>
      </c>
      <c r="BS41" s="1" t="str">
        <f>IF(ISBLANK(PriceData!BS39),"",PriceData!BS39)</f>
        <v/>
      </c>
      <c r="BT41" s="1" t="str">
        <f>IF(ISBLANK(PriceData!BT39),"",PriceData!BT39)</f>
        <v/>
      </c>
      <c r="BU41" s="1" t="str">
        <f>IF(ISBLANK(PriceData!BU39),"",PriceData!BU39)</f>
        <v/>
      </c>
      <c r="BV41" s="1" t="str">
        <f>IF(ISBLANK(PriceData!BV39),"",PriceData!BV39)</f>
        <v/>
      </c>
      <c r="BW41" s="1" t="str">
        <f>IF(ISBLANK(PriceData!BW39),"",PriceData!BW39)</f>
        <v/>
      </c>
      <c r="BX41" s="1" t="str">
        <f>IF(ISBLANK(PriceData!BX39),"",PriceData!BX39)</f>
        <v/>
      </c>
      <c r="BY41" s="1" t="str">
        <f>IF(ISBLANK(PriceData!BY39),"",PriceData!BY39)</f>
        <v/>
      </c>
      <c r="BZ41" s="1" t="str">
        <f>IF(ISBLANK(PriceData!BZ39),"",PriceData!BZ39)</f>
        <v/>
      </c>
      <c r="CA41" s="1" t="str">
        <f>IF(ISBLANK(PriceData!CA39),"",PriceData!CA39)</f>
        <v/>
      </c>
      <c r="CB41" s="1" t="str">
        <f>IF(ISBLANK(PriceData!CB39),"",PriceData!CB39)</f>
        <v/>
      </c>
      <c r="CC41" s="1" t="str">
        <f>IF(ISBLANK(PriceData!CC39),"",PriceData!CC39)</f>
        <v/>
      </c>
      <c r="CD41" s="1" t="str">
        <f>IF(ISBLANK(PriceData!CD39),"",PriceData!CD39)</f>
        <v/>
      </c>
      <c r="CE41" s="1" t="str">
        <f>IF(ISBLANK(PriceData!CE39),"",PriceData!CE39)</f>
        <v/>
      </c>
      <c r="CF41" s="1" t="str">
        <f>IF(ISBLANK(PriceData!CF39),"",PriceData!CF39)</f>
        <v/>
      </c>
      <c r="CG41" s="1" t="str">
        <f>IF(ISBLANK(PriceData!CG39),"",PriceData!CG39)</f>
        <v/>
      </c>
      <c r="CH41" s="1" t="str">
        <f>IF(ISBLANK(PriceData!CH39),"",PriceData!CH39)</f>
        <v/>
      </c>
      <c r="CI41" s="1" t="str">
        <f>IF(ISBLANK(PriceData!CI39),"",PriceData!CI39)</f>
        <v/>
      </c>
      <c r="CJ41" s="1" t="str">
        <f>IF(ISBLANK(PriceData!CJ39),"",PriceData!CJ39)</f>
        <v/>
      </c>
      <c r="CK41" s="1" t="str">
        <f>IF(ISBLANK(PriceData!CK39),"",PriceData!CK39)</f>
        <v/>
      </c>
      <c r="CL41" s="1" t="str">
        <f>IF(ISBLANK(PriceData!CL39),"",PriceData!CL39)</f>
        <v/>
      </c>
      <c r="CM41" s="1" t="str">
        <f>IF(ISBLANK(PriceData!CM39),"",PriceData!CM39)</f>
        <v/>
      </c>
      <c r="CN41" s="1" t="str">
        <f>IF(ISBLANK(PriceData!CN39),"",PriceData!CN39)</f>
        <v/>
      </c>
    </row>
    <row r="42" spans="2:92" x14ac:dyDescent="0.25">
      <c r="B42" s="1" t="str">
        <f>IF(ISBLANK(PriceData!A40),"",PriceData!A40)</f>
        <v/>
      </c>
      <c r="C42" s="1" t="str">
        <f>IF(ISBLANK(PriceData!C40),"",PriceData!C40)</f>
        <v/>
      </c>
      <c r="D42" s="1" t="str">
        <f>IF(ISBLANK(PriceData!D40),"",PriceData!D40)</f>
        <v/>
      </c>
      <c r="E42" s="1" t="str">
        <f>IF(ISBLANK(PriceData!E40),"",PriceData!E40)</f>
        <v/>
      </c>
      <c r="F42" s="1" t="str">
        <f>IF(ISBLANK(PriceData!F40),"",PriceData!F40)</f>
        <v/>
      </c>
      <c r="G42" s="1" t="str">
        <f>IF(ISBLANK(PriceData!G40),"",PriceData!G40)</f>
        <v/>
      </c>
      <c r="H42" s="1" t="str">
        <f>IF(ISBLANK(PriceData!H40),"",PriceData!H40)</f>
        <v/>
      </c>
      <c r="I42" s="1" t="str">
        <f>IF(ISBLANK(PriceData!I40),"",PriceData!I40)</f>
        <v/>
      </c>
      <c r="J42" s="1" t="str">
        <f>IF(ISBLANK(PriceData!J40),"",PriceData!J40)</f>
        <v/>
      </c>
      <c r="K42" s="1" t="str">
        <f>IF(ISBLANK(PriceData!K40),"",PriceData!K40)</f>
        <v/>
      </c>
      <c r="L42" s="1" t="str">
        <f>IF(ISBLANK(PriceData!L40),"",PriceData!L40)</f>
        <v/>
      </c>
      <c r="M42" s="1" t="str">
        <f>IF(ISBLANK(PriceData!M40),"",PriceData!M40)</f>
        <v/>
      </c>
      <c r="N42" s="1" t="str">
        <f>IF(ISBLANK(PriceData!N40),"",PriceData!N40)</f>
        <v/>
      </c>
      <c r="O42" s="1" t="str">
        <f>IF(ISBLANK(PriceData!O40),"",PriceData!O40)</f>
        <v/>
      </c>
      <c r="P42" s="1" t="str">
        <f>IF(ISBLANK(PriceData!P40),"",PriceData!P40)</f>
        <v/>
      </c>
      <c r="Q42" s="1" t="str">
        <f>IF(ISBLANK(PriceData!Q40),"",PriceData!Q40)</f>
        <v/>
      </c>
      <c r="R42" s="1" t="str">
        <f>IF(ISBLANK(PriceData!R40),"",PriceData!R40)</f>
        <v/>
      </c>
      <c r="S42" s="1" t="str">
        <f>IF(ISBLANK(PriceData!S40),"",PriceData!S40)</f>
        <v/>
      </c>
      <c r="T42" s="1" t="str">
        <f>IF(ISBLANK(PriceData!T40),"",PriceData!T40)</f>
        <v/>
      </c>
      <c r="U42" s="1" t="str">
        <f>IF(ISBLANK(PriceData!U40),"",PriceData!U40)</f>
        <v/>
      </c>
      <c r="V42" s="1" t="str">
        <f>IF(ISBLANK(PriceData!V40),"",PriceData!V40)</f>
        <v/>
      </c>
      <c r="W42" s="1" t="str">
        <f>IF(ISBLANK(PriceData!W40),"",PriceData!W40)</f>
        <v/>
      </c>
      <c r="X42" s="1" t="str">
        <f>IF(ISBLANK(PriceData!X40),"",PriceData!X40)</f>
        <v/>
      </c>
      <c r="Y42" s="1" t="str">
        <f>IF(ISBLANK(PriceData!Y40),"",PriceData!Y40)</f>
        <v/>
      </c>
      <c r="Z42" s="1" t="str">
        <f>IF(ISBLANK(PriceData!Z40),"",PriceData!Z40)</f>
        <v/>
      </c>
      <c r="AA42" s="1" t="str">
        <f>IF(ISBLANK(PriceData!AA40),"",PriceData!AA40)</f>
        <v/>
      </c>
      <c r="AB42" s="1" t="str">
        <f>IF(ISBLANK(PriceData!AB40),"",PriceData!AB40)</f>
        <v/>
      </c>
      <c r="AC42" s="1" t="str">
        <f>IF(ISBLANK(PriceData!AC40),"",PriceData!AC40)</f>
        <v/>
      </c>
      <c r="AD42" s="1" t="str">
        <f>IF(ISBLANK(PriceData!AD40),"",PriceData!AD40)</f>
        <v/>
      </c>
      <c r="AE42" s="1" t="str">
        <f>IF(ISBLANK(PriceData!AE40),"",PriceData!AE40)</f>
        <v/>
      </c>
      <c r="AF42" s="1" t="str">
        <f>IF(ISBLANK(PriceData!AF40),"",PriceData!AF40)</f>
        <v/>
      </c>
      <c r="AG42" s="1" t="str">
        <f>IF(ISBLANK(PriceData!AG40),"",PriceData!AG40)</f>
        <v/>
      </c>
      <c r="AH42" s="1" t="str">
        <f>IF(ISBLANK(PriceData!AH40),"",PriceData!AH40)</f>
        <v/>
      </c>
      <c r="AI42" s="1" t="str">
        <f>IF(ISBLANK(PriceData!AI40),"",PriceData!AI40)</f>
        <v/>
      </c>
      <c r="AJ42" s="1" t="str">
        <f>IF(ISBLANK(PriceData!AJ40),"",PriceData!AJ40)</f>
        <v/>
      </c>
      <c r="AK42" s="1" t="str">
        <f>IF(ISBLANK(PriceData!AK40),"",PriceData!AK40)</f>
        <v/>
      </c>
      <c r="AL42" s="1" t="str">
        <f>IF(ISBLANK(PriceData!AL40),"",PriceData!AL40)</f>
        <v/>
      </c>
      <c r="AM42" s="1" t="str">
        <f>IF(ISBLANK(PriceData!AM40),"",PriceData!AM40)</f>
        <v/>
      </c>
      <c r="AN42" s="1" t="str">
        <f>IF(ISBLANK(PriceData!AN40),"",PriceData!AN40)</f>
        <v/>
      </c>
      <c r="AO42" s="1" t="str">
        <f>IF(ISBLANK(PriceData!AO40),"",PriceData!AO40)</f>
        <v/>
      </c>
      <c r="AP42" s="1" t="str">
        <f>IF(ISBLANK(PriceData!AP40),"",PriceData!AP40)</f>
        <v/>
      </c>
      <c r="AQ42" s="1" t="str">
        <f>IF(ISBLANK(PriceData!AQ40),"",PriceData!AQ40)</f>
        <v/>
      </c>
      <c r="AR42" s="1" t="str">
        <f>IF(ISBLANK(PriceData!AR40),"",PriceData!AR40)</f>
        <v/>
      </c>
      <c r="AS42" s="1" t="str">
        <f>IF(ISBLANK(PriceData!AS40),"",PriceData!AS40)</f>
        <v/>
      </c>
      <c r="AT42" s="1" t="str">
        <f>IF(ISBLANK(PriceData!AT40),"",PriceData!AT40)</f>
        <v/>
      </c>
      <c r="AU42" s="1" t="str">
        <f>IF(ISBLANK(PriceData!AU40),"",PriceData!AU40)</f>
        <v/>
      </c>
      <c r="AV42" s="1" t="str">
        <f>IF(ISBLANK(PriceData!AV40),"",PriceData!AV40)</f>
        <v/>
      </c>
      <c r="AW42" s="1" t="str">
        <f>IF(ISBLANK(PriceData!AW40),"",PriceData!AW40)</f>
        <v/>
      </c>
      <c r="AX42" s="1" t="str">
        <f>IF(ISBLANK(PriceData!AX40),"",PriceData!AX40)</f>
        <v/>
      </c>
      <c r="AY42" s="1" t="str">
        <f>IF(ISBLANK(PriceData!AY40),"",PriceData!AY40)</f>
        <v/>
      </c>
      <c r="AZ42" s="1" t="str">
        <f>IF(ISBLANK(PriceData!AZ40),"",PriceData!AZ40)</f>
        <v/>
      </c>
      <c r="BA42" s="1" t="str">
        <f>IF(ISBLANK(PriceData!BA40),"",PriceData!BA40)</f>
        <v/>
      </c>
      <c r="BB42" s="1" t="str">
        <f>IF(ISBLANK(PriceData!BB40),"",PriceData!BB40)</f>
        <v/>
      </c>
      <c r="BC42" s="1" t="str">
        <f>IF(ISBLANK(PriceData!BC40),"",PriceData!BC40)</f>
        <v/>
      </c>
      <c r="BD42" s="1" t="str">
        <f>IF(ISBLANK(PriceData!BD40),"",PriceData!BD40)</f>
        <v/>
      </c>
      <c r="BE42" s="1" t="str">
        <f>IF(ISBLANK(PriceData!BE40),"",PriceData!BE40)</f>
        <v/>
      </c>
      <c r="BF42" s="1" t="str">
        <f>IF(ISBLANK(PriceData!BF40),"",PriceData!BF40)</f>
        <v/>
      </c>
      <c r="BG42" s="1" t="str">
        <f>IF(ISBLANK(PriceData!BG40),"",PriceData!BG40)</f>
        <v/>
      </c>
      <c r="BH42" s="1" t="str">
        <f>IF(ISBLANK(PriceData!BH40),"",PriceData!BH40)</f>
        <v/>
      </c>
      <c r="BI42" s="1" t="str">
        <f>IF(ISBLANK(PriceData!BI40),"",PriceData!BI40)</f>
        <v/>
      </c>
      <c r="BJ42" s="1" t="str">
        <f>IF(ISBLANK(PriceData!BJ40),"",PriceData!BJ40)</f>
        <v/>
      </c>
      <c r="BK42" s="1" t="str">
        <f>IF(ISBLANK(PriceData!BK40),"",PriceData!BK40)</f>
        <v/>
      </c>
      <c r="BL42" s="1" t="str">
        <f>IF(ISBLANK(PriceData!BL40),"",PriceData!BL40)</f>
        <v/>
      </c>
      <c r="BM42" s="1" t="str">
        <f>IF(ISBLANK(PriceData!BM40),"",PriceData!BM40)</f>
        <v/>
      </c>
      <c r="BN42" s="1" t="str">
        <f>IF(ISBLANK(PriceData!BN40),"",PriceData!BN40)</f>
        <v/>
      </c>
      <c r="BO42" s="1" t="str">
        <f>IF(ISBLANK(PriceData!BO40),"",PriceData!BO40)</f>
        <v/>
      </c>
      <c r="BP42" s="1" t="str">
        <f>IF(ISBLANK(PriceData!BP40),"",PriceData!BP40)</f>
        <v/>
      </c>
      <c r="BQ42" s="1" t="str">
        <f>IF(ISBLANK(PriceData!BQ40),"",PriceData!BQ40)</f>
        <v/>
      </c>
      <c r="BR42" s="1" t="str">
        <f>IF(ISBLANK(PriceData!BR40),"",PriceData!BR40)</f>
        <v/>
      </c>
      <c r="BS42" s="1" t="str">
        <f>IF(ISBLANK(PriceData!BS40),"",PriceData!BS40)</f>
        <v/>
      </c>
      <c r="BT42" s="1" t="str">
        <f>IF(ISBLANK(PriceData!BT40),"",PriceData!BT40)</f>
        <v/>
      </c>
      <c r="BU42" s="1" t="str">
        <f>IF(ISBLANK(PriceData!BU40),"",PriceData!BU40)</f>
        <v/>
      </c>
      <c r="BV42" s="1" t="str">
        <f>IF(ISBLANK(PriceData!BV40),"",PriceData!BV40)</f>
        <v/>
      </c>
      <c r="BW42" s="1" t="str">
        <f>IF(ISBLANK(PriceData!BW40),"",PriceData!BW40)</f>
        <v/>
      </c>
      <c r="BX42" s="1" t="str">
        <f>IF(ISBLANK(PriceData!BX40),"",PriceData!BX40)</f>
        <v/>
      </c>
      <c r="BY42" s="1" t="str">
        <f>IF(ISBLANK(PriceData!BY40),"",PriceData!BY40)</f>
        <v/>
      </c>
      <c r="BZ42" s="1" t="str">
        <f>IF(ISBLANK(PriceData!BZ40),"",PriceData!BZ40)</f>
        <v/>
      </c>
      <c r="CA42" s="1" t="str">
        <f>IF(ISBLANK(PriceData!CA40),"",PriceData!CA40)</f>
        <v/>
      </c>
      <c r="CB42" s="1" t="str">
        <f>IF(ISBLANK(PriceData!CB40),"",PriceData!CB40)</f>
        <v/>
      </c>
      <c r="CC42" s="1" t="str">
        <f>IF(ISBLANK(PriceData!CC40),"",PriceData!CC40)</f>
        <v/>
      </c>
      <c r="CD42" s="1" t="str">
        <f>IF(ISBLANK(PriceData!CD40),"",PriceData!CD40)</f>
        <v/>
      </c>
      <c r="CE42" s="1" t="str">
        <f>IF(ISBLANK(PriceData!CE40),"",PriceData!CE40)</f>
        <v/>
      </c>
      <c r="CF42" s="1" t="str">
        <f>IF(ISBLANK(PriceData!CF40),"",PriceData!CF40)</f>
        <v/>
      </c>
      <c r="CG42" s="1" t="str">
        <f>IF(ISBLANK(PriceData!CG40),"",PriceData!CG40)</f>
        <v/>
      </c>
      <c r="CH42" s="1" t="str">
        <f>IF(ISBLANK(PriceData!CH40),"",PriceData!CH40)</f>
        <v/>
      </c>
      <c r="CI42" s="1" t="str">
        <f>IF(ISBLANK(PriceData!CI40),"",PriceData!CI40)</f>
        <v/>
      </c>
      <c r="CJ42" s="1" t="str">
        <f>IF(ISBLANK(PriceData!CJ40),"",PriceData!CJ40)</f>
        <v/>
      </c>
      <c r="CK42" s="1" t="str">
        <f>IF(ISBLANK(PriceData!CK40),"",PriceData!CK40)</f>
        <v/>
      </c>
      <c r="CL42" s="1" t="str">
        <f>IF(ISBLANK(PriceData!CL40),"",PriceData!CL40)</f>
        <v/>
      </c>
      <c r="CM42" s="1" t="str">
        <f>IF(ISBLANK(PriceData!CM40),"",PriceData!CM40)</f>
        <v/>
      </c>
      <c r="CN42" s="1" t="str">
        <f>IF(ISBLANK(PriceData!CN40),"",PriceData!CN40)</f>
        <v/>
      </c>
    </row>
    <row r="43" spans="2:92" x14ac:dyDescent="0.25">
      <c r="B43" s="1" t="str">
        <f>IF(ISBLANK(PriceData!A41),"",PriceData!A41)</f>
        <v/>
      </c>
      <c r="C43" s="1" t="str">
        <f>IF(ISBLANK(PriceData!C41),"",PriceData!C41)</f>
        <v/>
      </c>
      <c r="D43" s="1" t="str">
        <f>IF(ISBLANK(PriceData!D41),"",PriceData!D41)</f>
        <v/>
      </c>
      <c r="E43" s="1" t="str">
        <f>IF(ISBLANK(PriceData!E41),"",PriceData!E41)</f>
        <v/>
      </c>
      <c r="F43" s="1" t="str">
        <f>IF(ISBLANK(PriceData!F41),"",PriceData!F41)</f>
        <v/>
      </c>
      <c r="G43" s="1" t="str">
        <f>IF(ISBLANK(PriceData!G41),"",PriceData!G41)</f>
        <v/>
      </c>
      <c r="H43" s="1" t="str">
        <f>IF(ISBLANK(PriceData!H41),"",PriceData!H41)</f>
        <v/>
      </c>
      <c r="I43" s="1" t="str">
        <f>IF(ISBLANK(PriceData!I41),"",PriceData!I41)</f>
        <v/>
      </c>
      <c r="J43" s="1" t="str">
        <f>IF(ISBLANK(PriceData!J41),"",PriceData!J41)</f>
        <v/>
      </c>
      <c r="K43" s="1" t="str">
        <f>IF(ISBLANK(PriceData!K41),"",PriceData!K41)</f>
        <v/>
      </c>
      <c r="L43" s="1" t="str">
        <f>IF(ISBLANK(PriceData!L41),"",PriceData!L41)</f>
        <v/>
      </c>
      <c r="M43" s="1" t="str">
        <f>IF(ISBLANK(PriceData!M41),"",PriceData!M41)</f>
        <v/>
      </c>
      <c r="N43" s="1" t="str">
        <f>IF(ISBLANK(PriceData!N41),"",PriceData!N41)</f>
        <v/>
      </c>
      <c r="O43" s="1" t="str">
        <f>IF(ISBLANK(PriceData!O41),"",PriceData!O41)</f>
        <v/>
      </c>
      <c r="P43" s="1" t="str">
        <f>IF(ISBLANK(PriceData!P41),"",PriceData!P41)</f>
        <v/>
      </c>
      <c r="Q43" s="1" t="str">
        <f>IF(ISBLANK(PriceData!Q41),"",PriceData!Q41)</f>
        <v/>
      </c>
      <c r="R43" s="1" t="str">
        <f>IF(ISBLANK(PriceData!R41),"",PriceData!R41)</f>
        <v/>
      </c>
      <c r="S43" s="1" t="str">
        <f>IF(ISBLANK(PriceData!S41),"",PriceData!S41)</f>
        <v/>
      </c>
      <c r="T43" s="1" t="str">
        <f>IF(ISBLANK(PriceData!T41),"",PriceData!T41)</f>
        <v/>
      </c>
      <c r="U43" s="1" t="str">
        <f>IF(ISBLANK(PriceData!U41),"",PriceData!U41)</f>
        <v/>
      </c>
      <c r="V43" s="1" t="str">
        <f>IF(ISBLANK(PriceData!V41),"",PriceData!V41)</f>
        <v/>
      </c>
      <c r="W43" s="1" t="str">
        <f>IF(ISBLANK(PriceData!W41),"",PriceData!W41)</f>
        <v/>
      </c>
      <c r="X43" s="1" t="str">
        <f>IF(ISBLANK(PriceData!X41),"",PriceData!X41)</f>
        <v/>
      </c>
      <c r="Y43" s="1" t="str">
        <f>IF(ISBLANK(PriceData!Y41),"",PriceData!Y41)</f>
        <v/>
      </c>
      <c r="Z43" s="1" t="str">
        <f>IF(ISBLANK(PriceData!Z41),"",PriceData!Z41)</f>
        <v/>
      </c>
      <c r="AA43" s="1" t="str">
        <f>IF(ISBLANK(PriceData!AA41),"",PriceData!AA41)</f>
        <v/>
      </c>
      <c r="AB43" s="1" t="str">
        <f>IF(ISBLANK(PriceData!AB41),"",PriceData!AB41)</f>
        <v/>
      </c>
      <c r="AC43" s="1" t="str">
        <f>IF(ISBLANK(PriceData!AC41),"",PriceData!AC41)</f>
        <v/>
      </c>
      <c r="AD43" s="1" t="str">
        <f>IF(ISBLANK(PriceData!AD41),"",PriceData!AD41)</f>
        <v/>
      </c>
      <c r="AE43" s="1" t="str">
        <f>IF(ISBLANK(PriceData!AE41),"",PriceData!AE41)</f>
        <v/>
      </c>
      <c r="AF43" s="1" t="str">
        <f>IF(ISBLANK(PriceData!AF41),"",PriceData!AF41)</f>
        <v/>
      </c>
      <c r="AG43" s="1" t="str">
        <f>IF(ISBLANK(PriceData!AG41),"",PriceData!AG41)</f>
        <v/>
      </c>
      <c r="AH43" s="1" t="str">
        <f>IF(ISBLANK(PriceData!AH41),"",PriceData!AH41)</f>
        <v/>
      </c>
      <c r="AI43" s="1" t="str">
        <f>IF(ISBLANK(PriceData!AI41),"",PriceData!AI41)</f>
        <v/>
      </c>
      <c r="AJ43" s="1" t="str">
        <f>IF(ISBLANK(PriceData!AJ41),"",PriceData!AJ41)</f>
        <v/>
      </c>
      <c r="AK43" s="1" t="str">
        <f>IF(ISBLANK(PriceData!AK41),"",PriceData!AK41)</f>
        <v/>
      </c>
      <c r="AL43" s="1" t="str">
        <f>IF(ISBLANK(PriceData!AL41),"",PriceData!AL41)</f>
        <v/>
      </c>
      <c r="AM43" s="1" t="str">
        <f>IF(ISBLANK(PriceData!AM41),"",PriceData!AM41)</f>
        <v/>
      </c>
      <c r="AN43" s="1" t="str">
        <f>IF(ISBLANK(PriceData!AN41),"",PriceData!AN41)</f>
        <v/>
      </c>
      <c r="AO43" s="1" t="str">
        <f>IF(ISBLANK(PriceData!AO41),"",PriceData!AO41)</f>
        <v/>
      </c>
      <c r="AP43" s="1" t="str">
        <f>IF(ISBLANK(PriceData!AP41),"",PriceData!AP41)</f>
        <v/>
      </c>
      <c r="AQ43" s="1" t="str">
        <f>IF(ISBLANK(PriceData!AQ41),"",PriceData!AQ41)</f>
        <v/>
      </c>
      <c r="AR43" s="1" t="str">
        <f>IF(ISBLANK(PriceData!AR41),"",PriceData!AR41)</f>
        <v/>
      </c>
      <c r="AS43" s="1" t="str">
        <f>IF(ISBLANK(PriceData!AS41),"",PriceData!AS41)</f>
        <v/>
      </c>
      <c r="AT43" s="1" t="str">
        <f>IF(ISBLANK(PriceData!AT41),"",PriceData!AT41)</f>
        <v/>
      </c>
      <c r="AU43" s="1" t="str">
        <f>IF(ISBLANK(PriceData!AU41),"",PriceData!AU41)</f>
        <v/>
      </c>
      <c r="AV43" s="1" t="str">
        <f>IF(ISBLANK(PriceData!AV41),"",PriceData!AV41)</f>
        <v/>
      </c>
      <c r="AW43" s="1" t="str">
        <f>IF(ISBLANK(PriceData!AW41),"",PriceData!AW41)</f>
        <v/>
      </c>
      <c r="AX43" s="1" t="str">
        <f>IF(ISBLANK(PriceData!AX41),"",PriceData!AX41)</f>
        <v/>
      </c>
      <c r="AY43" s="1" t="str">
        <f>IF(ISBLANK(PriceData!AY41),"",PriceData!AY41)</f>
        <v/>
      </c>
      <c r="AZ43" s="1" t="str">
        <f>IF(ISBLANK(PriceData!AZ41),"",PriceData!AZ41)</f>
        <v/>
      </c>
      <c r="BA43" s="1" t="str">
        <f>IF(ISBLANK(PriceData!BA41),"",PriceData!BA41)</f>
        <v/>
      </c>
      <c r="BB43" s="1" t="str">
        <f>IF(ISBLANK(PriceData!BB41),"",PriceData!BB41)</f>
        <v/>
      </c>
      <c r="BC43" s="1" t="str">
        <f>IF(ISBLANK(PriceData!BC41),"",PriceData!BC41)</f>
        <v/>
      </c>
      <c r="BD43" s="1" t="str">
        <f>IF(ISBLANK(PriceData!BD41),"",PriceData!BD41)</f>
        <v/>
      </c>
      <c r="BE43" s="1" t="str">
        <f>IF(ISBLANK(PriceData!BE41),"",PriceData!BE41)</f>
        <v/>
      </c>
      <c r="BF43" s="1" t="str">
        <f>IF(ISBLANK(PriceData!BF41),"",PriceData!BF41)</f>
        <v/>
      </c>
      <c r="BG43" s="1" t="str">
        <f>IF(ISBLANK(PriceData!BG41),"",PriceData!BG41)</f>
        <v/>
      </c>
      <c r="BH43" s="1" t="str">
        <f>IF(ISBLANK(PriceData!BH41),"",PriceData!BH41)</f>
        <v/>
      </c>
      <c r="BI43" s="1" t="str">
        <f>IF(ISBLANK(PriceData!BI41),"",PriceData!BI41)</f>
        <v/>
      </c>
      <c r="BJ43" s="1" t="str">
        <f>IF(ISBLANK(PriceData!BJ41),"",PriceData!BJ41)</f>
        <v/>
      </c>
      <c r="BK43" s="1" t="str">
        <f>IF(ISBLANK(PriceData!BK41),"",PriceData!BK41)</f>
        <v/>
      </c>
      <c r="BL43" s="1" t="str">
        <f>IF(ISBLANK(PriceData!BL41),"",PriceData!BL41)</f>
        <v/>
      </c>
      <c r="BM43" s="1" t="str">
        <f>IF(ISBLANK(PriceData!BM41),"",PriceData!BM41)</f>
        <v/>
      </c>
      <c r="BN43" s="1" t="str">
        <f>IF(ISBLANK(PriceData!BN41),"",PriceData!BN41)</f>
        <v/>
      </c>
      <c r="BO43" s="1" t="str">
        <f>IF(ISBLANK(PriceData!BO41),"",PriceData!BO41)</f>
        <v/>
      </c>
      <c r="BP43" s="1" t="str">
        <f>IF(ISBLANK(PriceData!BP41),"",PriceData!BP41)</f>
        <v/>
      </c>
      <c r="BQ43" s="1" t="str">
        <f>IF(ISBLANK(PriceData!BQ41),"",PriceData!BQ41)</f>
        <v/>
      </c>
      <c r="BR43" s="1" t="str">
        <f>IF(ISBLANK(PriceData!BR41),"",PriceData!BR41)</f>
        <v/>
      </c>
      <c r="BS43" s="1" t="str">
        <f>IF(ISBLANK(PriceData!BS41),"",PriceData!BS41)</f>
        <v/>
      </c>
      <c r="BT43" s="1" t="str">
        <f>IF(ISBLANK(PriceData!BT41),"",PriceData!BT41)</f>
        <v/>
      </c>
      <c r="BU43" s="1" t="str">
        <f>IF(ISBLANK(PriceData!BU41),"",PriceData!BU41)</f>
        <v/>
      </c>
      <c r="BV43" s="1" t="str">
        <f>IF(ISBLANK(PriceData!BV41),"",PriceData!BV41)</f>
        <v/>
      </c>
      <c r="BW43" s="1" t="str">
        <f>IF(ISBLANK(PriceData!BW41),"",PriceData!BW41)</f>
        <v/>
      </c>
      <c r="BX43" s="1" t="str">
        <f>IF(ISBLANK(PriceData!BX41),"",PriceData!BX41)</f>
        <v/>
      </c>
      <c r="BY43" s="1" t="str">
        <f>IF(ISBLANK(PriceData!BY41),"",PriceData!BY41)</f>
        <v/>
      </c>
      <c r="BZ43" s="1" t="str">
        <f>IF(ISBLANK(PriceData!BZ41),"",PriceData!BZ41)</f>
        <v/>
      </c>
      <c r="CA43" s="1" t="str">
        <f>IF(ISBLANK(PriceData!CA41),"",PriceData!CA41)</f>
        <v/>
      </c>
      <c r="CB43" s="1" t="str">
        <f>IF(ISBLANK(PriceData!CB41),"",PriceData!CB41)</f>
        <v/>
      </c>
      <c r="CC43" s="1" t="str">
        <f>IF(ISBLANK(PriceData!CC41),"",PriceData!CC41)</f>
        <v/>
      </c>
      <c r="CD43" s="1" t="str">
        <f>IF(ISBLANK(PriceData!CD41),"",PriceData!CD41)</f>
        <v/>
      </c>
      <c r="CE43" s="1" t="str">
        <f>IF(ISBLANK(PriceData!CE41),"",PriceData!CE41)</f>
        <v/>
      </c>
      <c r="CF43" s="1" t="str">
        <f>IF(ISBLANK(PriceData!CF41),"",PriceData!CF41)</f>
        <v/>
      </c>
      <c r="CG43" s="1" t="str">
        <f>IF(ISBLANK(PriceData!CG41),"",PriceData!CG41)</f>
        <v/>
      </c>
      <c r="CH43" s="1" t="str">
        <f>IF(ISBLANK(PriceData!CH41),"",PriceData!CH41)</f>
        <v/>
      </c>
      <c r="CI43" s="1" t="str">
        <f>IF(ISBLANK(PriceData!CI41),"",PriceData!CI41)</f>
        <v/>
      </c>
      <c r="CJ43" s="1" t="str">
        <f>IF(ISBLANK(PriceData!CJ41),"",PriceData!CJ41)</f>
        <v/>
      </c>
      <c r="CK43" s="1" t="str">
        <f>IF(ISBLANK(PriceData!CK41),"",PriceData!CK41)</f>
        <v/>
      </c>
      <c r="CL43" s="1" t="str">
        <f>IF(ISBLANK(PriceData!CL41),"",PriceData!CL41)</f>
        <v/>
      </c>
      <c r="CM43" s="1" t="str">
        <f>IF(ISBLANK(PriceData!CM41),"",PriceData!CM41)</f>
        <v/>
      </c>
      <c r="CN43" s="1" t="str">
        <f>IF(ISBLANK(PriceData!CN41),"",PriceData!CN41)</f>
        <v/>
      </c>
    </row>
    <row r="44" spans="2:92" x14ac:dyDescent="0.25">
      <c r="B44" s="1" t="str">
        <f>IF(ISBLANK(PriceData!A42),"",PriceData!A42)</f>
        <v/>
      </c>
      <c r="C44" s="1" t="str">
        <f>IF(ISBLANK(PriceData!C42),"",PriceData!C42)</f>
        <v/>
      </c>
      <c r="D44" s="1" t="str">
        <f>IF(ISBLANK(PriceData!D42),"",PriceData!D42)</f>
        <v/>
      </c>
      <c r="E44" s="1" t="str">
        <f>IF(ISBLANK(PriceData!E42),"",PriceData!E42)</f>
        <v/>
      </c>
      <c r="F44" s="1" t="str">
        <f>IF(ISBLANK(PriceData!F42),"",PriceData!F42)</f>
        <v/>
      </c>
      <c r="G44" s="1" t="str">
        <f>IF(ISBLANK(PriceData!G42),"",PriceData!G42)</f>
        <v/>
      </c>
      <c r="H44" s="1" t="str">
        <f>IF(ISBLANK(PriceData!H42),"",PriceData!H42)</f>
        <v/>
      </c>
      <c r="I44" s="1" t="str">
        <f>IF(ISBLANK(PriceData!I42),"",PriceData!I42)</f>
        <v/>
      </c>
      <c r="J44" s="1" t="str">
        <f>IF(ISBLANK(PriceData!J42),"",PriceData!J42)</f>
        <v/>
      </c>
      <c r="K44" s="1" t="str">
        <f>IF(ISBLANK(PriceData!K42),"",PriceData!K42)</f>
        <v/>
      </c>
      <c r="L44" s="1" t="str">
        <f>IF(ISBLANK(PriceData!L42),"",PriceData!L42)</f>
        <v/>
      </c>
      <c r="M44" s="1" t="str">
        <f>IF(ISBLANK(PriceData!M42),"",PriceData!M42)</f>
        <v/>
      </c>
      <c r="N44" s="1" t="str">
        <f>IF(ISBLANK(PriceData!N42),"",PriceData!N42)</f>
        <v/>
      </c>
      <c r="O44" s="1" t="str">
        <f>IF(ISBLANK(PriceData!O42),"",PriceData!O42)</f>
        <v/>
      </c>
      <c r="P44" s="1" t="str">
        <f>IF(ISBLANK(PriceData!P42),"",PriceData!P42)</f>
        <v/>
      </c>
      <c r="Q44" s="1" t="str">
        <f>IF(ISBLANK(PriceData!Q42),"",PriceData!Q42)</f>
        <v/>
      </c>
      <c r="R44" s="1" t="str">
        <f>IF(ISBLANK(PriceData!R42),"",PriceData!R42)</f>
        <v/>
      </c>
      <c r="S44" s="1" t="str">
        <f>IF(ISBLANK(PriceData!S42),"",PriceData!S42)</f>
        <v/>
      </c>
      <c r="T44" s="1" t="str">
        <f>IF(ISBLANK(PriceData!T42),"",PriceData!T42)</f>
        <v/>
      </c>
      <c r="U44" s="1" t="str">
        <f>IF(ISBLANK(PriceData!U42),"",PriceData!U42)</f>
        <v/>
      </c>
      <c r="V44" s="1" t="str">
        <f>IF(ISBLANK(PriceData!V42),"",PriceData!V42)</f>
        <v/>
      </c>
      <c r="W44" s="1" t="str">
        <f>IF(ISBLANK(PriceData!W42),"",PriceData!W42)</f>
        <v/>
      </c>
      <c r="X44" s="1" t="str">
        <f>IF(ISBLANK(PriceData!X42),"",PriceData!X42)</f>
        <v/>
      </c>
      <c r="Y44" s="1" t="str">
        <f>IF(ISBLANK(PriceData!Y42),"",PriceData!Y42)</f>
        <v/>
      </c>
      <c r="Z44" s="1" t="str">
        <f>IF(ISBLANK(PriceData!Z42),"",PriceData!Z42)</f>
        <v/>
      </c>
      <c r="AA44" s="1" t="str">
        <f>IF(ISBLANK(PriceData!AA42),"",PriceData!AA42)</f>
        <v/>
      </c>
      <c r="AB44" s="1" t="str">
        <f>IF(ISBLANK(PriceData!AB42),"",PriceData!AB42)</f>
        <v/>
      </c>
      <c r="AC44" s="1" t="str">
        <f>IF(ISBLANK(PriceData!AC42),"",PriceData!AC42)</f>
        <v/>
      </c>
      <c r="AD44" s="1" t="str">
        <f>IF(ISBLANK(PriceData!AD42),"",PriceData!AD42)</f>
        <v/>
      </c>
      <c r="AE44" s="1" t="str">
        <f>IF(ISBLANK(PriceData!AE42),"",PriceData!AE42)</f>
        <v/>
      </c>
      <c r="AF44" s="1" t="str">
        <f>IF(ISBLANK(PriceData!AF42),"",PriceData!AF42)</f>
        <v/>
      </c>
      <c r="AG44" s="1" t="str">
        <f>IF(ISBLANK(PriceData!AG42),"",PriceData!AG42)</f>
        <v/>
      </c>
      <c r="AH44" s="1" t="str">
        <f>IF(ISBLANK(PriceData!AH42),"",PriceData!AH42)</f>
        <v/>
      </c>
      <c r="AI44" s="1" t="str">
        <f>IF(ISBLANK(PriceData!AI42),"",PriceData!AI42)</f>
        <v/>
      </c>
      <c r="AJ44" s="1" t="str">
        <f>IF(ISBLANK(PriceData!AJ42),"",PriceData!AJ42)</f>
        <v/>
      </c>
      <c r="AK44" s="1" t="str">
        <f>IF(ISBLANK(PriceData!AK42),"",PriceData!AK42)</f>
        <v/>
      </c>
      <c r="AL44" s="1" t="str">
        <f>IF(ISBLANK(PriceData!AL42),"",PriceData!AL42)</f>
        <v/>
      </c>
      <c r="AM44" s="1" t="str">
        <f>IF(ISBLANK(PriceData!AM42),"",PriceData!AM42)</f>
        <v/>
      </c>
      <c r="AN44" s="1" t="str">
        <f>IF(ISBLANK(PriceData!AN42),"",PriceData!AN42)</f>
        <v/>
      </c>
      <c r="AO44" s="1" t="str">
        <f>IF(ISBLANK(PriceData!AO42),"",PriceData!AO42)</f>
        <v/>
      </c>
      <c r="AP44" s="1" t="str">
        <f>IF(ISBLANK(PriceData!AP42),"",PriceData!AP42)</f>
        <v/>
      </c>
      <c r="AQ44" s="1" t="str">
        <f>IF(ISBLANK(PriceData!AQ42),"",PriceData!AQ42)</f>
        <v/>
      </c>
      <c r="AR44" s="1" t="str">
        <f>IF(ISBLANK(PriceData!AR42),"",PriceData!AR42)</f>
        <v/>
      </c>
      <c r="AS44" s="1" t="str">
        <f>IF(ISBLANK(PriceData!AS42),"",PriceData!AS42)</f>
        <v/>
      </c>
      <c r="AT44" s="1" t="str">
        <f>IF(ISBLANK(PriceData!AT42),"",PriceData!AT42)</f>
        <v/>
      </c>
      <c r="AU44" s="1" t="str">
        <f>IF(ISBLANK(PriceData!AU42),"",PriceData!AU42)</f>
        <v/>
      </c>
      <c r="AV44" s="1" t="str">
        <f>IF(ISBLANK(PriceData!AV42),"",PriceData!AV42)</f>
        <v/>
      </c>
      <c r="AW44" s="1" t="str">
        <f>IF(ISBLANK(PriceData!AW42),"",PriceData!AW42)</f>
        <v/>
      </c>
      <c r="AX44" s="1" t="str">
        <f>IF(ISBLANK(PriceData!AX42),"",PriceData!AX42)</f>
        <v/>
      </c>
      <c r="AY44" s="1" t="str">
        <f>IF(ISBLANK(PriceData!AY42),"",PriceData!AY42)</f>
        <v/>
      </c>
      <c r="AZ44" s="1" t="str">
        <f>IF(ISBLANK(PriceData!AZ42),"",PriceData!AZ42)</f>
        <v/>
      </c>
      <c r="BA44" s="1" t="str">
        <f>IF(ISBLANK(PriceData!BA42),"",PriceData!BA42)</f>
        <v/>
      </c>
      <c r="BB44" s="1" t="str">
        <f>IF(ISBLANK(PriceData!BB42),"",PriceData!BB42)</f>
        <v/>
      </c>
      <c r="BC44" s="1" t="str">
        <f>IF(ISBLANK(PriceData!BC42),"",PriceData!BC42)</f>
        <v/>
      </c>
      <c r="BD44" s="1" t="str">
        <f>IF(ISBLANK(PriceData!BD42),"",PriceData!BD42)</f>
        <v/>
      </c>
      <c r="BE44" s="1" t="str">
        <f>IF(ISBLANK(PriceData!BE42),"",PriceData!BE42)</f>
        <v/>
      </c>
      <c r="BF44" s="1" t="str">
        <f>IF(ISBLANK(PriceData!BF42),"",PriceData!BF42)</f>
        <v/>
      </c>
      <c r="BG44" s="1" t="str">
        <f>IF(ISBLANK(PriceData!BG42),"",PriceData!BG42)</f>
        <v/>
      </c>
      <c r="BH44" s="1" t="str">
        <f>IF(ISBLANK(PriceData!BH42),"",PriceData!BH42)</f>
        <v/>
      </c>
      <c r="BI44" s="1" t="str">
        <f>IF(ISBLANK(PriceData!BI42),"",PriceData!BI42)</f>
        <v/>
      </c>
      <c r="BJ44" s="1" t="str">
        <f>IF(ISBLANK(PriceData!BJ42),"",PriceData!BJ42)</f>
        <v/>
      </c>
      <c r="BK44" s="1" t="str">
        <f>IF(ISBLANK(PriceData!BK42),"",PriceData!BK42)</f>
        <v/>
      </c>
      <c r="BL44" s="1" t="str">
        <f>IF(ISBLANK(PriceData!BL42),"",PriceData!BL42)</f>
        <v/>
      </c>
      <c r="BM44" s="1" t="str">
        <f>IF(ISBLANK(PriceData!BM42),"",PriceData!BM42)</f>
        <v/>
      </c>
      <c r="BN44" s="1" t="str">
        <f>IF(ISBLANK(PriceData!BN42),"",PriceData!BN42)</f>
        <v/>
      </c>
      <c r="BO44" s="1" t="str">
        <f>IF(ISBLANK(PriceData!BO42),"",PriceData!BO42)</f>
        <v/>
      </c>
      <c r="BP44" s="1" t="str">
        <f>IF(ISBLANK(PriceData!BP42),"",PriceData!BP42)</f>
        <v/>
      </c>
      <c r="BQ44" s="1" t="str">
        <f>IF(ISBLANK(PriceData!BQ42),"",PriceData!BQ42)</f>
        <v/>
      </c>
      <c r="BR44" s="1" t="str">
        <f>IF(ISBLANK(PriceData!BR42),"",PriceData!BR42)</f>
        <v/>
      </c>
      <c r="BS44" s="1" t="str">
        <f>IF(ISBLANK(PriceData!BS42),"",PriceData!BS42)</f>
        <v/>
      </c>
      <c r="BT44" s="1" t="str">
        <f>IF(ISBLANK(PriceData!BT42),"",PriceData!BT42)</f>
        <v/>
      </c>
      <c r="BU44" s="1" t="str">
        <f>IF(ISBLANK(PriceData!BU42),"",PriceData!BU42)</f>
        <v/>
      </c>
      <c r="BV44" s="1" t="str">
        <f>IF(ISBLANK(PriceData!BV42),"",PriceData!BV42)</f>
        <v/>
      </c>
      <c r="BW44" s="1" t="str">
        <f>IF(ISBLANK(PriceData!BW42),"",PriceData!BW42)</f>
        <v/>
      </c>
      <c r="BX44" s="1" t="str">
        <f>IF(ISBLANK(PriceData!BX42),"",PriceData!BX42)</f>
        <v/>
      </c>
      <c r="BY44" s="1" t="str">
        <f>IF(ISBLANK(PriceData!BY42),"",PriceData!BY42)</f>
        <v/>
      </c>
      <c r="BZ44" s="1" t="str">
        <f>IF(ISBLANK(PriceData!BZ42),"",PriceData!BZ42)</f>
        <v/>
      </c>
      <c r="CA44" s="1" t="str">
        <f>IF(ISBLANK(PriceData!CA42),"",PriceData!CA42)</f>
        <v/>
      </c>
      <c r="CB44" s="1" t="str">
        <f>IF(ISBLANK(PriceData!CB42),"",PriceData!CB42)</f>
        <v/>
      </c>
      <c r="CC44" s="1" t="str">
        <f>IF(ISBLANK(PriceData!CC42),"",PriceData!CC42)</f>
        <v/>
      </c>
      <c r="CD44" s="1" t="str">
        <f>IF(ISBLANK(PriceData!CD42),"",PriceData!CD42)</f>
        <v/>
      </c>
      <c r="CE44" s="1" t="str">
        <f>IF(ISBLANK(PriceData!CE42),"",PriceData!CE42)</f>
        <v/>
      </c>
      <c r="CF44" s="1" t="str">
        <f>IF(ISBLANK(PriceData!CF42),"",PriceData!CF42)</f>
        <v/>
      </c>
      <c r="CG44" s="1" t="str">
        <f>IF(ISBLANK(PriceData!CG42),"",PriceData!CG42)</f>
        <v/>
      </c>
      <c r="CH44" s="1" t="str">
        <f>IF(ISBLANK(PriceData!CH42),"",PriceData!CH42)</f>
        <v/>
      </c>
      <c r="CI44" s="1" t="str">
        <f>IF(ISBLANK(PriceData!CI42),"",PriceData!CI42)</f>
        <v/>
      </c>
      <c r="CJ44" s="1" t="str">
        <f>IF(ISBLANK(PriceData!CJ42),"",PriceData!CJ42)</f>
        <v/>
      </c>
      <c r="CK44" s="1" t="str">
        <f>IF(ISBLANK(PriceData!CK42),"",PriceData!CK42)</f>
        <v/>
      </c>
      <c r="CL44" s="1" t="str">
        <f>IF(ISBLANK(PriceData!CL42),"",PriceData!CL42)</f>
        <v/>
      </c>
      <c r="CM44" s="1" t="str">
        <f>IF(ISBLANK(PriceData!CM42),"",PriceData!CM42)</f>
        <v/>
      </c>
      <c r="CN44" s="1" t="str">
        <f>IF(ISBLANK(PriceData!CN42),"",PriceData!CN42)</f>
        <v/>
      </c>
    </row>
    <row r="45" spans="2:92" x14ac:dyDescent="0.25">
      <c r="B45" s="1" t="str">
        <f>IF(ISBLANK(PriceData!A43),"",PriceData!A43)</f>
        <v/>
      </c>
      <c r="C45" s="1" t="str">
        <f>IF(ISBLANK(PriceData!C43),"",PriceData!C43)</f>
        <v/>
      </c>
      <c r="D45" s="1" t="str">
        <f>IF(ISBLANK(PriceData!D43),"",PriceData!D43)</f>
        <v/>
      </c>
      <c r="E45" s="1" t="str">
        <f>IF(ISBLANK(PriceData!E43),"",PriceData!E43)</f>
        <v/>
      </c>
      <c r="F45" s="1" t="str">
        <f>IF(ISBLANK(PriceData!F43),"",PriceData!F43)</f>
        <v/>
      </c>
      <c r="G45" s="1" t="str">
        <f>IF(ISBLANK(PriceData!G43),"",PriceData!G43)</f>
        <v/>
      </c>
      <c r="H45" s="1" t="str">
        <f>IF(ISBLANK(PriceData!H43),"",PriceData!H43)</f>
        <v/>
      </c>
      <c r="I45" s="1" t="str">
        <f>IF(ISBLANK(PriceData!I43),"",PriceData!I43)</f>
        <v/>
      </c>
      <c r="J45" s="1" t="str">
        <f>IF(ISBLANK(PriceData!J43),"",PriceData!J43)</f>
        <v/>
      </c>
      <c r="K45" s="1" t="str">
        <f>IF(ISBLANK(PriceData!K43),"",PriceData!K43)</f>
        <v/>
      </c>
      <c r="L45" s="1" t="str">
        <f>IF(ISBLANK(PriceData!L43),"",PriceData!L43)</f>
        <v/>
      </c>
      <c r="M45" s="1" t="str">
        <f>IF(ISBLANK(PriceData!M43),"",PriceData!M43)</f>
        <v/>
      </c>
      <c r="N45" s="1" t="str">
        <f>IF(ISBLANK(PriceData!N43),"",PriceData!N43)</f>
        <v/>
      </c>
      <c r="O45" s="1" t="str">
        <f>IF(ISBLANK(PriceData!O43),"",PriceData!O43)</f>
        <v/>
      </c>
      <c r="P45" s="1" t="str">
        <f>IF(ISBLANK(PriceData!P43),"",PriceData!P43)</f>
        <v/>
      </c>
      <c r="Q45" s="1" t="str">
        <f>IF(ISBLANK(PriceData!Q43),"",PriceData!Q43)</f>
        <v/>
      </c>
      <c r="R45" s="1" t="str">
        <f>IF(ISBLANK(PriceData!R43),"",PriceData!R43)</f>
        <v/>
      </c>
      <c r="S45" s="1" t="str">
        <f>IF(ISBLANK(PriceData!S43),"",PriceData!S43)</f>
        <v/>
      </c>
      <c r="T45" s="1" t="str">
        <f>IF(ISBLANK(PriceData!T43),"",PriceData!T43)</f>
        <v/>
      </c>
      <c r="U45" s="1" t="str">
        <f>IF(ISBLANK(PriceData!U43),"",PriceData!U43)</f>
        <v/>
      </c>
      <c r="V45" s="1" t="str">
        <f>IF(ISBLANK(PriceData!V43),"",PriceData!V43)</f>
        <v/>
      </c>
      <c r="W45" s="1" t="str">
        <f>IF(ISBLANK(PriceData!W43),"",PriceData!W43)</f>
        <v/>
      </c>
      <c r="X45" s="1" t="str">
        <f>IF(ISBLANK(PriceData!X43),"",PriceData!X43)</f>
        <v/>
      </c>
      <c r="Y45" s="1" t="str">
        <f>IF(ISBLANK(PriceData!Y43),"",PriceData!Y43)</f>
        <v/>
      </c>
      <c r="Z45" s="1" t="str">
        <f>IF(ISBLANK(PriceData!Z43),"",PriceData!Z43)</f>
        <v/>
      </c>
      <c r="AA45" s="1" t="str">
        <f>IF(ISBLANK(PriceData!AA43),"",PriceData!AA43)</f>
        <v/>
      </c>
      <c r="AB45" s="1" t="str">
        <f>IF(ISBLANK(PriceData!AB43),"",PriceData!AB43)</f>
        <v/>
      </c>
      <c r="AC45" s="1" t="str">
        <f>IF(ISBLANK(PriceData!AC43),"",PriceData!AC43)</f>
        <v/>
      </c>
      <c r="AD45" s="1" t="str">
        <f>IF(ISBLANK(PriceData!AD43),"",PriceData!AD43)</f>
        <v/>
      </c>
      <c r="AE45" s="1" t="str">
        <f>IF(ISBLANK(PriceData!AE43),"",PriceData!AE43)</f>
        <v/>
      </c>
      <c r="AF45" s="1" t="str">
        <f>IF(ISBLANK(PriceData!AF43),"",PriceData!AF43)</f>
        <v/>
      </c>
      <c r="AG45" s="1" t="str">
        <f>IF(ISBLANK(PriceData!AG43),"",PriceData!AG43)</f>
        <v/>
      </c>
      <c r="AH45" s="1" t="str">
        <f>IF(ISBLANK(PriceData!AH43),"",PriceData!AH43)</f>
        <v/>
      </c>
      <c r="AI45" s="1" t="str">
        <f>IF(ISBLANK(PriceData!AI43),"",PriceData!AI43)</f>
        <v/>
      </c>
      <c r="AJ45" s="1" t="str">
        <f>IF(ISBLANK(PriceData!AJ43),"",PriceData!AJ43)</f>
        <v/>
      </c>
      <c r="AK45" s="1" t="str">
        <f>IF(ISBLANK(PriceData!AK43),"",PriceData!AK43)</f>
        <v/>
      </c>
      <c r="AL45" s="1" t="str">
        <f>IF(ISBLANK(PriceData!AL43),"",PriceData!AL43)</f>
        <v/>
      </c>
      <c r="AM45" s="1" t="str">
        <f>IF(ISBLANK(PriceData!AM43),"",PriceData!AM43)</f>
        <v/>
      </c>
      <c r="AN45" s="1" t="str">
        <f>IF(ISBLANK(PriceData!AN43),"",PriceData!AN43)</f>
        <v/>
      </c>
      <c r="AO45" s="1" t="str">
        <f>IF(ISBLANK(PriceData!AO43),"",PriceData!AO43)</f>
        <v/>
      </c>
      <c r="AP45" s="1" t="str">
        <f>IF(ISBLANK(PriceData!AP43),"",PriceData!AP43)</f>
        <v/>
      </c>
      <c r="AQ45" s="1" t="str">
        <f>IF(ISBLANK(PriceData!AQ43),"",PriceData!AQ43)</f>
        <v/>
      </c>
      <c r="AR45" s="1" t="str">
        <f>IF(ISBLANK(PriceData!AR43),"",PriceData!AR43)</f>
        <v/>
      </c>
      <c r="AS45" s="1" t="str">
        <f>IF(ISBLANK(PriceData!AS43),"",PriceData!AS43)</f>
        <v/>
      </c>
      <c r="AT45" s="1" t="str">
        <f>IF(ISBLANK(PriceData!AT43),"",PriceData!AT43)</f>
        <v/>
      </c>
      <c r="AU45" s="1" t="str">
        <f>IF(ISBLANK(PriceData!AU43),"",PriceData!AU43)</f>
        <v/>
      </c>
      <c r="AV45" s="1" t="str">
        <f>IF(ISBLANK(PriceData!AV43),"",PriceData!AV43)</f>
        <v/>
      </c>
      <c r="AW45" s="1" t="str">
        <f>IF(ISBLANK(PriceData!AW43),"",PriceData!AW43)</f>
        <v/>
      </c>
      <c r="AX45" s="1" t="str">
        <f>IF(ISBLANK(PriceData!AX43),"",PriceData!AX43)</f>
        <v/>
      </c>
      <c r="AY45" s="1" t="str">
        <f>IF(ISBLANK(PriceData!AY43),"",PriceData!AY43)</f>
        <v/>
      </c>
      <c r="AZ45" s="1" t="str">
        <f>IF(ISBLANK(PriceData!AZ43),"",PriceData!AZ43)</f>
        <v/>
      </c>
      <c r="BA45" s="1" t="str">
        <f>IF(ISBLANK(PriceData!BA43),"",PriceData!BA43)</f>
        <v/>
      </c>
      <c r="BB45" s="1" t="str">
        <f>IF(ISBLANK(PriceData!BB43),"",PriceData!BB43)</f>
        <v/>
      </c>
      <c r="BC45" s="1" t="str">
        <f>IF(ISBLANK(PriceData!BC43),"",PriceData!BC43)</f>
        <v/>
      </c>
      <c r="BD45" s="1" t="str">
        <f>IF(ISBLANK(PriceData!BD43),"",PriceData!BD43)</f>
        <v/>
      </c>
      <c r="BE45" s="1" t="str">
        <f>IF(ISBLANK(PriceData!BE43),"",PriceData!BE43)</f>
        <v/>
      </c>
      <c r="BF45" s="1" t="str">
        <f>IF(ISBLANK(PriceData!BF43),"",PriceData!BF43)</f>
        <v/>
      </c>
      <c r="BG45" s="1" t="str">
        <f>IF(ISBLANK(PriceData!BG43),"",PriceData!BG43)</f>
        <v/>
      </c>
      <c r="BH45" s="1" t="str">
        <f>IF(ISBLANK(PriceData!BH43),"",PriceData!BH43)</f>
        <v/>
      </c>
      <c r="BI45" s="1" t="str">
        <f>IF(ISBLANK(PriceData!BI43),"",PriceData!BI43)</f>
        <v/>
      </c>
      <c r="BJ45" s="1" t="str">
        <f>IF(ISBLANK(PriceData!BJ43),"",PriceData!BJ43)</f>
        <v/>
      </c>
      <c r="BK45" s="1" t="str">
        <f>IF(ISBLANK(PriceData!BK43),"",PriceData!BK43)</f>
        <v/>
      </c>
      <c r="BL45" s="1" t="str">
        <f>IF(ISBLANK(PriceData!BL43),"",PriceData!BL43)</f>
        <v/>
      </c>
      <c r="BM45" s="1" t="str">
        <f>IF(ISBLANK(PriceData!BM43),"",PriceData!BM43)</f>
        <v/>
      </c>
      <c r="BN45" s="1" t="str">
        <f>IF(ISBLANK(PriceData!BN43),"",PriceData!BN43)</f>
        <v/>
      </c>
      <c r="BO45" s="1" t="str">
        <f>IF(ISBLANK(PriceData!BO43),"",PriceData!BO43)</f>
        <v/>
      </c>
      <c r="BP45" s="1" t="str">
        <f>IF(ISBLANK(PriceData!BP43),"",PriceData!BP43)</f>
        <v/>
      </c>
      <c r="BQ45" s="1" t="str">
        <f>IF(ISBLANK(PriceData!BQ43),"",PriceData!BQ43)</f>
        <v/>
      </c>
      <c r="BR45" s="1" t="str">
        <f>IF(ISBLANK(PriceData!BR43),"",PriceData!BR43)</f>
        <v/>
      </c>
      <c r="BS45" s="1" t="str">
        <f>IF(ISBLANK(PriceData!BS43),"",PriceData!BS43)</f>
        <v/>
      </c>
      <c r="BT45" s="1" t="str">
        <f>IF(ISBLANK(PriceData!BT43),"",PriceData!BT43)</f>
        <v/>
      </c>
      <c r="BU45" s="1" t="str">
        <f>IF(ISBLANK(PriceData!BU43),"",PriceData!BU43)</f>
        <v/>
      </c>
      <c r="BV45" s="1" t="str">
        <f>IF(ISBLANK(PriceData!BV43),"",PriceData!BV43)</f>
        <v/>
      </c>
      <c r="BW45" s="1" t="str">
        <f>IF(ISBLANK(PriceData!BW43),"",PriceData!BW43)</f>
        <v/>
      </c>
      <c r="BX45" s="1" t="str">
        <f>IF(ISBLANK(PriceData!BX43),"",PriceData!BX43)</f>
        <v/>
      </c>
      <c r="BY45" s="1" t="str">
        <f>IF(ISBLANK(PriceData!BY43),"",PriceData!BY43)</f>
        <v/>
      </c>
      <c r="BZ45" s="1" t="str">
        <f>IF(ISBLANK(PriceData!BZ43),"",PriceData!BZ43)</f>
        <v/>
      </c>
      <c r="CA45" s="1" t="str">
        <f>IF(ISBLANK(PriceData!CA43),"",PriceData!CA43)</f>
        <v/>
      </c>
      <c r="CB45" s="1" t="str">
        <f>IF(ISBLANK(PriceData!CB43),"",PriceData!CB43)</f>
        <v/>
      </c>
      <c r="CC45" s="1" t="str">
        <f>IF(ISBLANK(PriceData!CC43),"",PriceData!CC43)</f>
        <v/>
      </c>
      <c r="CD45" s="1" t="str">
        <f>IF(ISBLANK(PriceData!CD43),"",PriceData!CD43)</f>
        <v/>
      </c>
      <c r="CE45" s="1" t="str">
        <f>IF(ISBLANK(PriceData!CE43),"",PriceData!CE43)</f>
        <v/>
      </c>
      <c r="CF45" s="1" t="str">
        <f>IF(ISBLANK(PriceData!CF43),"",PriceData!CF43)</f>
        <v/>
      </c>
      <c r="CG45" s="1" t="str">
        <f>IF(ISBLANK(PriceData!CG43),"",PriceData!CG43)</f>
        <v/>
      </c>
      <c r="CH45" s="1" t="str">
        <f>IF(ISBLANK(PriceData!CH43),"",PriceData!CH43)</f>
        <v/>
      </c>
      <c r="CI45" s="1" t="str">
        <f>IF(ISBLANK(PriceData!CI43),"",PriceData!CI43)</f>
        <v/>
      </c>
      <c r="CJ45" s="1" t="str">
        <f>IF(ISBLANK(PriceData!CJ43),"",PriceData!CJ43)</f>
        <v/>
      </c>
      <c r="CK45" s="1" t="str">
        <f>IF(ISBLANK(PriceData!CK43),"",PriceData!CK43)</f>
        <v/>
      </c>
      <c r="CL45" s="1" t="str">
        <f>IF(ISBLANK(PriceData!CL43),"",PriceData!CL43)</f>
        <v/>
      </c>
      <c r="CM45" s="1" t="str">
        <f>IF(ISBLANK(PriceData!CM43),"",PriceData!CM43)</f>
        <v/>
      </c>
      <c r="CN45" s="1" t="str">
        <f>IF(ISBLANK(PriceData!CN43),"",PriceData!CN43)</f>
        <v/>
      </c>
    </row>
    <row r="46" spans="2:92" x14ac:dyDescent="0.25">
      <c r="B46" s="1" t="str">
        <f>IF(ISBLANK(PriceData!A44),"",PriceData!A44)</f>
        <v/>
      </c>
      <c r="C46" s="1" t="str">
        <f>IF(ISBLANK(PriceData!C44),"",PriceData!C44)</f>
        <v/>
      </c>
      <c r="D46" s="1" t="str">
        <f>IF(ISBLANK(PriceData!D44),"",PriceData!D44)</f>
        <v/>
      </c>
      <c r="E46" s="1" t="str">
        <f>IF(ISBLANK(PriceData!E44),"",PriceData!E44)</f>
        <v/>
      </c>
      <c r="F46" s="1" t="str">
        <f>IF(ISBLANK(PriceData!F44),"",PriceData!F44)</f>
        <v/>
      </c>
      <c r="G46" s="1" t="str">
        <f>IF(ISBLANK(PriceData!G44),"",PriceData!G44)</f>
        <v/>
      </c>
      <c r="H46" s="1" t="str">
        <f>IF(ISBLANK(PriceData!H44),"",PriceData!H44)</f>
        <v/>
      </c>
      <c r="I46" s="1" t="str">
        <f>IF(ISBLANK(PriceData!I44),"",PriceData!I44)</f>
        <v/>
      </c>
      <c r="J46" s="1" t="str">
        <f>IF(ISBLANK(PriceData!J44),"",PriceData!J44)</f>
        <v/>
      </c>
      <c r="K46" s="1" t="str">
        <f>IF(ISBLANK(PriceData!K44),"",PriceData!K44)</f>
        <v/>
      </c>
      <c r="L46" s="1" t="str">
        <f>IF(ISBLANK(PriceData!L44),"",PriceData!L44)</f>
        <v/>
      </c>
      <c r="M46" s="1" t="str">
        <f>IF(ISBLANK(PriceData!M44),"",PriceData!M44)</f>
        <v/>
      </c>
      <c r="N46" s="1" t="str">
        <f>IF(ISBLANK(PriceData!N44),"",PriceData!N44)</f>
        <v/>
      </c>
      <c r="O46" s="1" t="str">
        <f>IF(ISBLANK(PriceData!O44),"",PriceData!O44)</f>
        <v/>
      </c>
      <c r="P46" s="1" t="str">
        <f>IF(ISBLANK(PriceData!P44),"",PriceData!P44)</f>
        <v/>
      </c>
      <c r="Q46" s="1" t="str">
        <f>IF(ISBLANK(PriceData!Q44),"",PriceData!Q44)</f>
        <v/>
      </c>
      <c r="R46" s="1" t="str">
        <f>IF(ISBLANK(PriceData!R44),"",PriceData!R44)</f>
        <v/>
      </c>
      <c r="S46" s="1" t="str">
        <f>IF(ISBLANK(PriceData!S44),"",PriceData!S44)</f>
        <v/>
      </c>
      <c r="T46" s="1" t="str">
        <f>IF(ISBLANK(PriceData!T44),"",PriceData!T44)</f>
        <v/>
      </c>
      <c r="U46" s="1" t="str">
        <f>IF(ISBLANK(PriceData!U44),"",PriceData!U44)</f>
        <v/>
      </c>
      <c r="V46" s="1" t="str">
        <f>IF(ISBLANK(PriceData!V44),"",PriceData!V44)</f>
        <v/>
      </c>
      <c r="W46" s="1" t="str">
        <f>IF(ISBLANK(PriceData!W44),"",PriceData!W44)</f>
        <v/>
      </c>
      <c r="X46" s="1" t="str">
        <f>IF(ISBLANK(PriceData!X44),"",PriceData!X44)</f>
        <v/>
      </c>
      <c r="Y46" s="1" t="str">
        <f>IF(ISBLANK(PriceData!Y44),"",PriceData!Y44)</f>
        <v/>
      </c>
      <c r="Z46" s="1" t="str">
        <f>IF(ISBLANK(PriceData!Z44),"",PriceData!Z44)</f>
        <v/>
      </c>
      <c r="AA46" s="1" t="str">
        <f>IF(ISBLANK(PriceData!AA44),"",PriceData!AA44)</f>
        <v/>
      </c>
      <c r="AB46" s="1" t="str">
        <f>IF(ISBLANK(PriceData!AB44),"",PriceData!AB44)</f>
        <v/>
      </c>
      <c r="AC46" s="1" t="str">
        <f>IF(ISBLANK(PriceData!AC44),"",PriceData!AC44)</f>
        <v/>
      </c>
      <c r="AD46" s="1" t="str">
        <f>IF(ISBLANK(PriceData!AD44),"",PriceData!AD44)</f>
        <v/>
      </c>
      <c r="AE46" s="1" t="str">
        <f>IF(ISBLANK(PriceData!AE44),"",PriceData!AE44)</f>
        <v/>
      </c>
      <c r="AF46" s="1" t="str">
        <f>IF(ISBLANK(PriceData!AF44),"",PriceData!AF44)</f>
        <v/>
      </c>
      <c r="AG46" s="1" t="str">
        <f>IF(ISBLANK(PriceData!AG44),"",PriceData!AG44)</f>
        <v/>
      </c>
      <c r="AH46" s="1" t="str">
        <f>IF(ISBLANK(PriceData!AH44),"",PriceData!AH44)</f>
        <v/>
      </c>
      <c r="AI46" s="1" t="str">
        <f>IF(ISBLANK(PriceData!AI44),"",PriceData!AI44)</f>
        <v/>
      </c>
      <c r="AJ46" s="1" t="str">
        <f>IF(ISBLANK(PriceData!AJ44),"",PriceData!AJ44)</f>
        <v/>
      </c>
      <c r="AK46" s="1" t="str">
        <f>IF(ISBLANK(PriceData!AK44),"",PriceData!AK44)</f>
        <v/>
      </c>
      <c r="AL46" s="1" t="str">
        <f>IF(ISBLANK(PriceData!AL44),"",PriceData!AL44)</f>
        <v/>
      </c>
      <c r="AM46" s="1" t="str">
        <f>IF(ISBLANK(PriceData!AM44),"",PriceData!AM44)</f>
        <v/>
      </c>
      <c r="AN46" s="1" t="str">
        <f>IF(ISBLANK(PriceData!AN44),"",PriceData!AN44)</f>
        <v/>
      </c>
      <c r="AO46" s="1" t="str">
        <f>IF(ISBLANK(PriceData!AO44),"",PriceData!AO44)</f>
        <v/>
      </c>
      <c r="AP46" s="1" t="str">
        <f>IF(ISBLANK(PriceData!AP44),"",PriceData!AP44)</f>
        <v/>
      </c>
      <c r="AQ46" s="1" t="str">
        <f>IF(ISBLANK(PriceData!AQ44),"",PriceData!AQ44)</f>
        <v/>
      </c>
      <c r="AR46" s="1" t="str">
        <f>IF(ISBLANK(PriceData!AR44),"",PriceData!AR44)</f>
        <v/>
      </c>
      <c r="AS46" s="1" t="str">
        <f>IF(ISBLANK(PriceData!AS44),"",PriceData!AS44)</f>
        <v/>
      </c>
      <c r="AT46" s="1" t="str">
        <f>IF(ISBLANK(PriceData!AT44),"",PriceData!AT44)</f>
        <v/>
      </c>
      <c r="AU46" s="1" t="str">
        <f>IF(ISBLANK(PriceData!AU44),"",PriceData!AU44)</f>
        <v/>
      </c>
      <c r="AV46" s="1" t="str">
        <f>IF(ISBLANK(PriceData!AV44),"",PriceData!AV44)</f>
        <v/>
      </c>
      <c r="AW46" s="1" t="str">
        <f>IF(ISBLANK(PriceData!AW44),"",PriceData!AW44)</f>
        <v/>
      </c>
      <c r="AX46" s="1" t="str">
        <f>IF(ISBLANK(PriceData!AX44),"",PriceData!AX44)</f>
        <v/>
      </c>
      <c r="AY46" s="1" t="str">
        <f>IF(ISBLANK(PriceData!AY44),"",PriceData!AY44)</f>
        <v/>
      </c>
      <c r="AZ46" s="1" t="str">
        <f>IF(ISBLANK(PriceData!AZ44),"",PriceData!AZ44)</f>
        <v/>
      </c>
      <c r="BA46" s="1" t="str">
        <f>IF(ISBLANK(PriceData!BA44),"",PriceData!BA44)</f>
        <v/>
      </c>
      <c r="BB46" s="1" t="str">
        <f>IF(ISBLANK(PriceData!BB44),"",PriceData!BB44)</f>
        <v/>
      </c>
      <c r="BC46" s="1" t="str">
        <f>IF(ISBLANK(PriceData!BC44),"",PriceData!BC44)</f>
        <v/>
      </c>
      <c r="BD46" s="1" t="str">
        <f>IF(ISBLANK(PriceData!BD44),"",PriceData!BD44)</f>
        <v/>
      </c>
      <c r="BE46" s="1" t="str">
        <f>IF(ISBLANK(PriceData!BE44),"",PriceData!BE44)</f>
        <v/>
      </c>
      <c r="BF46" s="1" t="str">
        <f>IF(ISBLANK(PriceData!BF44),"",PriceData!BF44)</f>
        <v/>
      </c>
      <c r="BG46" s="1" t="str">
        <f>IF(ISBLANK(PriceData!BG44),"",PriceData!BG44)</f>
        <v/>
      </c>
      <c r="BH46" s="1" t="str">
        <f>IF(ISBLANK(PriceData!BH44),"",PriceData!BH44)</f>
        <v/>
      </c>
      <c r="BI46" s="1" t="str">
        <f>IF(ISBLANK(PriceData!BI44),"",PriceData!BI44)</f>
        <v/>
      </c>
      <c r="BJ46" s="1" t="str">
        <f>IF(ISBLANK(PriceData!BJ44),"",PriceData!BJ44)</f>
        <v/>
      </c>
      <c r="BK46" s="1" t="str">
        <f>IF(ISBLANK(PriceData!BK44),"",PriceData!BK44)</f>
        <v/>
      </c>
      <c r="BL46" s="1" t="str">
        <f>IF(ISBLANK(PriceData!BL44),"",PriceData!BL44)</f>
        <v/>
      </c>
      <c r="BM46" s="1" t="str">
        <f>IF(ISBLANK(PriceData!BM44),"",PriceData!BM44)</f>
        <v/>
      </c>
      <c r="BN46" s="1" t="str">
        <f>IF(ISBLANK(PriceData!BN44),"",PriceData!BN44)</f>
        <v/>
      </c>
      <c r="BO46" s="1" t="str">
        <f>IF(ISBLANK(PriceData!BO44),"",PriceData!BO44)</f>
        <v/>
      </c>
      <c r="BP46" s="1" t="str">
        <f>IF(ISBLANK(PriceData!BP44),"",PriceData!BP44)</f>
        <v/>
      </c>
      <c r="BQ46" s="1" t="str">
        <f>IF(ISBLANK(PriceData!BQ44),"",PriceData!BQ44)</f>
        <v/>
      </c>
      <c r="BR46" s="1" t="str">
        <f>IF(ISBLANK(PriceData!BR44),"",PriceData!BR44)</f>
        <v/>
      </c>
      <c r="BS46" s="1" t="str">
        <f>IF(ISBLANK(PriceData!BS44),"",PriceData!BS44)</f>
        <v/>
      </c>
      <c r="BT46" s="1" t="str">
        <f>IF(ISBLANK(PriceData!BT44),"",PriceData!BT44)</f>
        <v/>
      </c>
      <c r="BU46" s="1" t="str">
        <f>IF(ISBLANK(PriceData!BU44),"",PriceData!BU44)</f>
        <v/>
      </c>
      <c r="BV46" s="1" t="str">
        <f>IF(ISBLANK(PriceData!BV44),"",PriceData!BV44)</f>
        <v/>
      </c>
      <c r="BW46" s="1" t="str">
        <f>IF(ISBLANK(PriceData!BW44),"",PriceData!BW44)</f>
        <v/>
      </c>
      <c r="BX46" s="1" t="str">
        <f>IF(ISBLANK(PriceData!BX44),"",PriceData!BX44)</f>
        <v/>
      </c>
      <c r="BY46" s="1" t="str">
        <f>IF(ISBLANK(PriceData!BY44),"",PriceData!BY44)</f>
        <v/>
      </c>
      <c r="BZ46" s="1" t="str">
        <f>IF(ISBLANK(PriceData!BZ44),"",PriceData!BZ44)</f>
        <v/>
      </c>
      <c r="CA46" s="1" t="str">
        <f>IF(ISBLANK(PriceData!CA44),"",PriceData!CA44)</f>
        <v/>
      </c>
      <c r="CB46" s="1" t="str">
        <f>IF(ISBLANK(PriceData!CB44),"",PriceData!CB44)</f>
        <v/>
      </c>
      <c r="CC46" s="1" t="str">
        <f>IF(ISBLANK(PriceData!CC44),"",PriceData!CC44)</f>
        <v/>
      </c>
      <c r="CD46" s="1" t="str">
        <f>IF(ISBLANK(PriceData!CD44),"",PriceData!CD44)</f>
        <v/>
      </c>
      <c r="CE46" s="1" t="str">
        <f>IF(ISBLANK(PriceData!CE44),"",PriceData!CE44)</f>
        <v/>
      </c>
      <c r="CF46" s="1" t="str">
        <f>IF(ISBLANK(PriceData!CF44),"",PriceData!CF44)</f>
        <v/>
      </c>
      <c r="CG46" s="1" t="str">
        <f>IF(ISBLANK(PriceData!CG44),"",PriceData!CG44)</f>
        <v/>
      </c>
      <c r="CH46" s="1" t="str">
        <f>IF(ISBLANK(PriceData!CH44),"",PriceData!CH44)</f>
        <v/>
      </c>
      <c r="CI46" s="1" t="str">
        <f>IF(ISBLANK(PriceData!CI44),"",PriceData!CI44)</f>
        <v/>
      </c>
      <c r="CJ46" s="1" t="str">
        <f>IF(ISBLANK(PriceData!CJ44),"",PriceData!CJ44)</f>
        <v/>
      </c>
      <c r="CK46" s="1" t="str">
        <f>IF(ISBLANK(PriceData!CK44),"",PriceData!CK44)</f>
        <v/>
      </c>
      <c r="CL46" s="1" t="str">
        <f>IF(ISBLANK(PriceData!CL44),"",PriceData!CL44)</f>
        <v/>
      </c>
      <c r="CM46" s="1" t="str">
        <f>IF(ISBLANK(PriceData!CM44),"",PriceData!CM44)</f>
        <v/>
      </c>
      <c r="CN46" s="1" t="str">
        <f>IF(ISBLANK(PriceData!CN44),"",PriceData!CN44)</f>
        <v/>
      </c>
    </row>
    <row r="47" spans="2:92" x14ac:dyDescent="0.25">
      <c r="B47" s="1" t="str">
        <f>IF(ISBLANK(PriceData!A45),"",PriceData!A45)</f>
        <v/>
      </c>
      <c r="C47" s="1" t="str">
        <f>IF(ISBLANK(PriceData!C45),"",PriceData!C45)</f>
        <v/>
      </c>
      <c r="D47" s="1" t="str">
        <f>IF(ISBLANK(PriceData!D45),"",PriceData!D45)</f>
        <v/>
      </c>
      <c r="E47" s="1" t="str">
        <f>IF(ISBLANK(PriceData!E45),"",PriceData!E45)</f>
        <v/>
      </c>
      <c r="F47" s="1" t="str">
        <f>IF(ISBLANK(PriceData!F45),"",PriceData!F45)</f>
        <v/>
      </c>
      <c r="G47" s="1" t="str">
        <f>IF(ISBLANK(PriceData!G45),"",PriceData!G45)</f>
        <v/>
      </c>
      <c r="H47" s="1" t="str">
        <f>IF(ISBLANK(PriceData!H45),"",PriceData!H45)</f>
        <v/>
      </c>
      <c r="I47" s="1" t="str">
        <f>IF(ISBLANK(PriceData!I45),"",PriceData!I45)</f>
        <v/>
      </c>
      <c r="J47" s="1" t="str">
        <f>IF(ISBLANK(PriceData!J45),"",PriceData!J45)</f>
        <v/>
      </c>
      <c r="K47" s="1" t="str">
        <f>IF(ISBLANK(PriceData!K45),"",PriceData!K45)</f>
        <v/>
      </c>
      <c r="L47" s="1" t="str">
        <f>IF(ISBLANK(PriceData!L45),"",PriceData!L45)</f>
        <v/>
      </c>
      <c r="M47" s="1" t="str">
        <f>IF(ISBLANK(PriceData!M45),"",PriceData!M45)</f>
        <v/>
      </c>
      <c r="N47" s="1" t="str">
        <f>IF(ISBLANK(PriceData!N45),"",PriceData!N45)</f>
        <v/>
      </c>
      <c r="O47" s="1" t="str">
        <f>IF(ISBLANK(PriceData!O45),"",PriceData!O45)</f>
        <v/>
      </c>
      <c r="P47" s="1" t="str">
        <f>IF(ISBLANK(PriceData!P45),"",PriceData!P45)</f>
        <v/>
      </c>
      <c r="Q47" s="1" t="str">
        <f>IF(ISBLANK(PriceData!Q45),"",PriceData!Q45)</f>
        <v/>
      </c>
      <c r="R47" s="1" t="str">
        <f>IF(ISBLANK(PriceData!R45),"",PriceData!R45)</f>
        <v/>
      </c>
      <c r="S47" s="1" t="str">
        <f>IF(ISBLANK(PriceData!S45),"",PriceData!S45)</f>
        <v/>
      </c>
      <c r="T47" s="1" t="str">
        <f>IF(ISBLANK(PriceData!T45),"",PriceData!T45)</f>
        <v/>
      </c>
      <c r="U47" s="1" t="str">
        <f>IF(ISBLANK(PriceData!U45),"",PriceData!U45)</f>
        <v/>
      </c>
      <c r="V47" s="1" t="str">
        <f>IF(ISBLANK(PriceData!V45),"",PriceData!V45)</f>
        <v/>
      </c>
      <c r="W47" s="1" t="str">
        <f>IF(ISBLANK(PriceData!W45),"",PriceData!W45)</f>
        <v/>
      </c>
      <c r="X47" s="1" t="str">
        <f>IF(ISBLANK(PriceData!X45),"",PriceData!X45)</f>
        <v/>
      </c>
      <c r="Y47" s="1" t="str">
        <f>IF(ISBLANK(PriceData!Y45),"",PriceData!Y45)</f>
        <v/>
      </c>
      <c r="Z47" s="1" t="str">
        <f>IF(ISBLANK(PriceData!Z45),"",PriceData!Z45)</f>
        <v/>
      </c>
      <c r="AA47" s="1" t="str">
        <f>IF(ISBLANK(PriceData!AA45),"",PriceData!AA45)</f>
        <v/>
      </c>
      <c r="AB47" s="1" t="str">
        <f>IF(ISBLANK(PriceData!AB45),"",PriceData!AB45)</f>
        <v/>
      </c>
      <c r="AC47" s="1" t="str">
        <f>IF(ISBLANK(PriceData!AC45),"",PriceData!AC45)</f>
        <v/>
      </c>
      <c r="AD47" s="1" t="str">
        <f>IF(ISBLANK(PriceData!AD45),"",PriceData!AD45)</f>
        <v/>
      </c>
      <c r="AE47" s="1" t="str">
        <f>IF(ISBLANK(PriceData!AE45),"",PriceData!AE45)</f>
        <v/>
      </c>
      <c r="AF47" s="1" t="str">
        <f>IF(ISBLANK(PriceData!AF45),"",PriceData!AF45)</f>
        <v/>
      </c>
      <c r="AG47" s="1" t="str">
        <f>IF(ISBLANK(PriceData!AG45),"",PriceData!AG45)</f>
        <v/>
      </c>
      <c r="AH47" s="1" t="str">
        <f>IF(ISBLANK(PriceData!AH45),"",PriceData!AH45)</f>
        <v/>
      </c>
      <c r="AI47" s="1" t="str">
        <f>IF(ISBLANK(PriceData!AI45),"",PriceData!AI45)</f>
        <v/>
      </c>
      <c r="AJ47" s="1" t="str">
        <f>IF(ISBLANK(PriceData!AJ45),"",PriceData!AJ45)</f>
        <v/>
      </c>
      <c r="AK47" s="1" t="str">
        <f>IF(ISBLANK(PriceData!AK45),"",PriceData!AK45)</f>
        <v/>
      </c>
      <c r="AL47" s="1" t="str">
        <f>IF(ISBLANK(PriceData!AL45),"",PriceData!AL45)</f>
        <v/>
      </c>
      <c r="AM47" s="1" t="str">
        <f>IF(ISBLANK(PriceData!AM45),"",PriceData!AM45)</f>
        <v/>
      </c>
      <c r="AN47" s="1" t="str">
        <f>IF(ISBLANK(PriceData!AN45),"",PriceData!AN45)</f>
        <v/>
      </c>
      <c r="AO47" s="1" t="str">
        <f>IF(ISBLANK(PriceData!AO45),"",PriceData!AO45)</f>
        <v/>
      </c>
      <c r="AP47" s="1" t="str">
        <f>IF(ISBLANK(PriceData!AP45),"",PriceData!AP45)</f>
        <v/>
      </c>
      <c r="AQ47" s="1" t="str">
        <f>IF(ISBLANK(PriceData!AQ45),"",PriceData!AQ45)</f>
        <v/>
      </c>
      <c r="AR47" s="1" t="str">
        <f>IF(ISBLANK(PriceData!AR45),"",PriceData!AR45)</f>
        <v/>
      </c>
      <c r="AS47" s="1" t="str">
        <f>IF(ISBLANK(PriceData!AS45),"",PriceData!AS45)</f>
        <v/>
      </c>
      <c r="AT47" s="1" t="str">
        <f>IF(ISBLANK(PriceData!AT45),"",PriceData!AT45)</f>
        <v/>
      </c>
      <c r="AU47" s="1" t="str">
        <f>IF(ISBLANK(PriceData!AU45),"",PriceData!AU45)</f>
        <v/>
      </c>
      <c r="AV47" s="1" t="str">
        <f>IF(ISBLANK(PriceData!AV45),"",PriceData!AV45)</f>
        <v/>
      </c>
      <c r="AW47" s="1" t="str">
        <f>IF(ISBLANK(PriceData!AW45),"",PriceData!AW45)</f>
        <v/>
      </c>
      <c r="AX47" s="1" t="str">
        <f>IF(ISBLANK(PriceData!AX45),"",PriceData!AX45)</f>
        <v/>
      </c>
      <c r="AY47" s="1" t="str">
        <f>IF(ISBLANK(PriceData!AY45),"",PriceData!AY45)</f>
        <v/>
      </c>
      <c r="AZ47" s="1" t="str">
        <f>IF(ISBLANK(PriceData!AZ45),"",PriceData!AZ45)</f>
        <v/>
      </c>
      <c r="BA47" s="1" t="str">
        <f>IF(ISBLANK(PriceData!BA45),"",PriceData!BA45)</f>
        <v/>
      </c>
      <c r="BB47" s="1" t="str">
        <f>IF(ISBLANK(PriceData!BB45),"",PriceData!BB45)</f>
        <v/>
      </c>
      <c r="BC47" s="1" t="str">
        <f>IF(ISBLANK(PriceData!BC45),"",PriceData!BC45)</f>
        <v/>
      </c>
      <c r="BD47" s="1" t="str">
        <f>IF(ISBLANK(PriceData!BD45),"",PriceData!BD45)</f>
        <v/>
      </c>
      <c r="BE47" s="1" t="str">
        <f>IF(ISBLANK(PriceData!BE45),"",PriceData!BE45)</f>
        <v/>
      </c>
      <c r="BF47" s="1" t="str">
        <f>IF(ISBLANK(PriceData!BF45),"",PriceData!BF45)</f>
        <v/>
      </c>
      <c r="BG47" s="1" t="str">
        <f>IF(ISBLANK(PriceData!BG45),"",PriceData!BG45)</f>
        <v/>
      </c>
      <c r="BH47" s="1" t="str">
        <f>IF(ISBLANK(PriceData!BH45),"",PriceData!BH45)</f>
        <v/>
      </c>
      <c r="BI47" s="1" t="str">
        <f>IF(ISBLANK(PriceData!BI45),"",PriceData!BI45)</f>
        <v/>
      </c>
      <c r="BJ47" s="1" t="str">
        <f>IF(ISBLANK(PriceData!BJ45),"",PriceData!BJ45)</f>
        <v/>
      </c>
      <c r="BK47" s="1" t="str">
        <f>IF(ISBLANK(PriceData!BK45),"",PriceData!BK45)</f>
        <v/>
      </c>
      <c r="BL47" s="1" t="str">
        <f>IF(ISBLANK(PriceData!BL45),"",PriceData!BL45)</f>
        <v/>
      </c>
      <c r="BM47" s="1" t="str">
        <f>IF(ISBLANK(PriceData!BM45),"",PriceData!BM45)</f>
        <v/>
      </c>
      <c r="BN47" s="1" t="str">
        <f>IF(ISBLANK(PriceData!BN45),"",PriceData!BN45)</f>
        <v/>
      </c>
      <c r="BO47" s="1" t="str">
        <f>IF(ISBLANK(PriceData!BO45),"",PriceData!BO45)</f>
        <v/>
      </c>
      <c r="BP47" s="1" t="str">
        <f>IF(ISBLANK(PriceData!BP45),"",PriceData!BP45)</f>
        <v/>
      </c>
      <c r="BQ47" s="1" t="str">
        <f>IF(ISBLANK(PriceData!BQ45),"",PriceData!BQ45)</f>
        <v/>
      </c>
      <c r="BR47" s="1" t="str">
        <f>IF(ISBLANK(PriceData!BR45),"",PriceData!BR45)</f>
        <v/>
      </c>
      <c r="BS47" s="1" t="str">
        <f>IF(ISBLANK(PriceData!BS45),"",PriceData!BS45)</f>
        <v/>
      </c>
      <c r="BT47" s="1" t="str">
        <f>IF(ISBLANK(PriceData!BT45),"",PriceData!BT45)</f>
        <v/>
      </c>
      <c r="BU47" s="1" t="str">
        <f>IF(ISBLANK(PriceData!BU45),"",PriceData!BU45)</f>
        <v/>
      </c>
      <c r="BV47" s="1" t="str">
        <f>IF(ISBLANK(PriceData!BV45),"",PriceData!BV45)</f>
        <v/>
      </c>
      <c r="BW47" s="1" t="str">
        <f>IF(ISBLANK(PriceData!BW45),"",PriceData!BW45)</f>
        <v/>
      </c>
      <c r="BX47" s="1" t="str">
        <f>IF(ISBLANK(PriceData!BX45),"",PriceData!BX45)</f>
        <v/>
      </c>
      <c r="BY47" s="1" t="str">
        <f>IF(ISBLANK(PriceData!BY45),"",PriceData!BY45)</f>
        <v/>
      </c>
      <c r="BZ47" s="1" t="str">
        <f>IF(ISBLANK(PriceData!BZ45),"",PriceData!BZ45)</f>
        <v/>
      </c>
      <c r="CA47" s="1" t="str">
        <f>IF(ISBLANK(PriceData!CA45),"",PriceData!CA45)</f>
        <v/>
      </c>
      <c r="CB47" s="1" t="str">
        <f>IF(ISBLANK(PriceData!CB45),"",PriceData!CB45)</f>
        <v/>
      </c>
      <c r="CC47" s="1" t="str">
        <f>IF(ISBLANK(PriceData!CC45),"",PriceData!CC45)</f>
        <v/>
      </c>
      <c r="CD47" s="1" t="str">
        <f>IF(ISBLANK(PriceData!CD45),"",PriceData!CD45)</f>
        <v/>
      </c>
      <c r="CE47" s="1" t="str">
        <f>IF(ISBLANK(PriceData!CE45),"",PriceData!CE45)</f>
        <v/>
      </c>
      <c r="CF47" s="1" t="str">
        <f>IF(ISBLANK(PriceData!CF45),"",PriceData!CF45)</f>
        <v/>
      </c>
      <c r="CG47" s="1" t="str">
        <f>IF(ISBLANK(PriceData!CG45),"",PriceData!CG45)</f>
        <v/>
      </c>
      <c r="CH47" s="1" t="str">
        <f>IF(ISBLANK(PriceData!CH45),"",PriceData!CH45)</f>
        <v/>
      </c>
      <c r="CI47" s="1" t="str">
        <f>IF(ISBLANK(PriceData!CI45),"",PriceData!CI45)</f>
        <v/>
      </c>
      <c r="CJ47" s="1" t="str">
        <f>IF(ISBLANK(PriceData!CJ45),"",PriceData!CJ45)</f>
        <v/>
      </c>
      <c r="CK47" s="1" t="str">
        <f>IF(ISBLANK(PriceData!CK45),"",PriceData!CK45)</f>
        <v/>
      </c>
      <c r="CL47" s="1" t="str">
        <f>IF(ISBLANK(PriceData!CL45),"",PriceData!CL45)</f>
        <v/>
      </c>
      <c r="CM47" s="1" t="str">
        <f>IF(ISBLANK(PriceData!CM45),"",PriceData!CM45)</f>
        <v/>
      </c>
      <c r="CN47" s="1" t="str">
        <f>IF(ISBLANK(PriceData!CN45),"",PriceData!CN45)</f>
        <v/>
      </c>
    </row>
    <row r="48" spans="2:92" x14ac:dyDescent="0.25">
      <c r="B48" s="1" t="str">
        <f>IF(ISBLANK(PriceData!A46),"",PriceData!A46)</f>
        <v/>
      </c>
      <c r="C48" s="1" t="str">
        <f>IF(ISBLANK(PriceData!C46),"",PriceData!C46)</f>
        <v/>
      </c>
      <c r="D48" s="1" t="str">
        <f>IF(ISBLANK(PriceData!D46),"",PriceData!D46)</f>
        <v/>
      </c>
      <c r="E48" s="1" t="str">
        <f>IF(ISBLANK(PriceData!E46),"",PriceData!E46)</f>
        <v/>
      </c>
      <c r="F48" s="1" t="str">
        <f>IF(ISBLANK(PriceData!F46),"",PriceData!F46)</f>
        <v/>
      </c>
      <c r="G48" s="1" t="str">
        <f>IF(ISBLANK(PriceData!G46),"",PriceData!G46)</f>
        <v/>
      </c>
      <c r="H48" s="1" t="str">
        <f>IF(ISBLANK(PriceData!H46),"",PriceData!H46)</f>
        <v/>
      </c>
      <c r="I48" s="1" t="str">
        <f>IF(ISBLANK(PriceData!I46),"",PriceData!I46)</f>
        <v/>
      </c>
      <c r="J48" s="1" t="str">
        <f>IF(ISBLANK(PriceData!J46),"",PriceData!J46)</f>
        <v/>
      </c>
      <c r="K48" s="1" t="str">
        <f>IF(ISBLANK(PriceData!K46),"",PriceData!K46)</f>
        <v/>
      </c>
      <c r="L48" s="1" t="str">
        <f>IF(ISBLANK(PriceData!L46),"",PriceData!L46)</f>
        <v/>
      </c>
      <c r="M48" s="1" t="str">
        <f>IF(ISBLANK(PriceData!M46),"",PriceData!M46)</f>
        <v/>
      </c>
      <c r="N48" s="1" t="str">
        <f>IF(ISBLANK(PriceData!N46),"",PriceData!N46)</f>
        <v/>
      </c>
      <c r="O48" s="1" t="str">
        <f>IF(ISBLANK(PriceData!O46),"",PriceData!O46)</f>
        <v/>
      </c>
      <c r="P48" s="1" t="str">
        <f>IF(ISBLANK(PriceData!P46),"",PriceData!P46)</f>
        <v/>
      </c>
      <c r="Q48" s="1" t="str">
        <f>IF(ISBLANK(PriceData!Q46),"",PriceData!Q46)</f>
        <v/>
      </c>
      <c r="R48" s="1" t="str">
        <f>IF(ISBLANK(PriceData!R46),"",PriceData!R46)</f>
        <v/>
      </c>
      <c r="S48" s="1" t="str">
        <f>IF(ISBLANK(PriceData!S46),"",PriceData!S46)</f>
        <v/>
      </c>
      <c r="T48" s="1" t="str">
        <f>IF(ISBLANK(PriceData!T46),"",PriceData!T46)</f>
        <v/>
      </c>
      <c r="U48" s="1" t="str">
        <f>IF(ISBLANK(PriceData!U46),"",PriceData!U46)</f>
        <v/>
      </c>
      <c r="V48" s="1" t="str">
        <f>IF(ISBLANK(PriceData!V46),"",PriceData!V46)</f>
        <v/>
      </c>
      <c r="W48" s="1" t="str">
        <f>IF(ISBLANK(PriceData!W46),"",PriceData!W46)</f>
        <v/>
      </c>
      <c r="X48" s="1" t="str">
        <f>IF(ISBLANK(PriceData!X46),"",PriceData!X46)</f>
        <v/>
      </c>
      <c r="Y48" s="1" t="str">
        <f>IF(ISBLANK(PriceData!Y46),"",PriceData!Y46)</f>
        <v/>
      </c>
      <c r="Z48" s="1" t="str">
        <f>IF(ISBLANK(PriceData!Z46),"",PriceData!Z46)</f>
        <v/>
      </c>
      <c r="AA48" s="1" t="str">
        <f>IF(ISBLANK(PriceData!AA46),"",PriceData!AA46)</f>
        <v/>
      </c>
      <c r="AB48" s="1" t="str">
        <f>IF(ISBLANK(PriceData!AB46),"",PriceData!AB46)</f>
        <v/>
      </c>
      <c r="AC48" s="1" t="str">
        <f>IF(ISBLANK(PriceData!AC46),"",PriceData!AC46)</f>
        <v/>
      </c>
      <c r="AD48" s="1" t="str">
        <f>IF(ISBLANK(PriceData!AD46),"",PriceData!AD46)</f>
        <v/>
      </c>
      <c r="AE48" s="1" t="str">
        <f>IF(ISBLANK(PriceData!AE46),"",PriceData!AE46)</f>
        <v/>
      </c>
      <c r="AF48" s="1" t="str">
        <f>IF(ISBLANK(PriceData!AF46),"",PriceData!AF46)</f>
        <v/>
      </c>
      <c r="AG48" s="1" t="str">
        <f>IF(ISBLANK(PriceData!AG46),"",PriceData!AG46)</f>
        <v/>
      </c>
      <c r="AH48" s="1" t="str">
        <f>IF(ISBLANK(PriceData!AH46),"",PriceData!AH46)</f>
        <v/>
      </c>
      <c r="AI48" s="1" t="str">
        <f>IF(ISBLANK(PriceData!AI46),"",PriceData!AI46)</f>
        <v/>
      </c>
      <c r="AJ48" s="1" t="str">
        <f>IF(ISBLANK(PriceData!AJ46),"",PriceData!AJ46)</f>
        <v/>
      </c>
      <c r="AK48" s="1" t="str">
        <f>IF(ISBLANK(PriceData!AK46),"",PriceData!AK46)</f>
        <v/>
      </c>
      <c r="AL48" s="1" t="str">
        <f>IF(ISBLANK(PriceData!AL46),"",PriceData!AL46)</f>
        <v/>
      </c>
      <c r="AM48" s="1" t="str">
        <f>IF(ISBLANK(PriceData!AM46),"",PriceData!AM46)</f>
        <v/>
      </c>
      <c r="AN48" s="1" t="str">
        <f>IF(ISBLANK(PriceData!AN46),"",PriceData!AN46)</f>
        <v/>
      </c>
      <c r="AO48" s="1" t="str">
        <f>IF(ISBLANK(PriceData!AO46),"",PriceData!AO46)</f>
        <v/>
      </c>
      <c r="AP48" s="1" t="str">
        <f>IF(ISBLANK(PriceData!AP46),"",PriceData!AP46)</f>
        <v/>
      </c>
      <c r="AQ48" s="1" t="str">
        <f>IF(ISBLANK(PriceData!AQ46),"",PriceData!AQ46)</f>
        <v/>
      </c>
      <c r="AR48" s="1" t="str">
        <f>IF(ISBLANK(PriceData!AR46),"",PriceData!AR46)</f>
        <v/>
      </c>
      <c r="AS48" s="1" t="str">
        <f>IF(ISBLANK(PriceData!AS46),"",PriceData!AS46)</f>
        <v/>
      </c>
      <c r="AT48" s="1" t="str">
        <f>IF(ISBLANK(PriceData!AT46),"",PriceData!AT46)</f>
        <v/>
      </c>
      <c r="AU48" s="1" t="str">
        <f>IF(ISBLANK(PriceData!AU46),"",PriceData!AU46)</f>
        <v/>
      </c>
      <c r="AV48" s="1" t="str">
        <f>IF(ISBLANK(PriceData!AV46),"",PriceData!AV46)</f>
        <v/>
      </c>
      <c r="AW48" s="1" t="str">
        <f>IF(ISBLANK(PriceData!AW46),"",PriceData!AW46)</f>
        <v/>
      </c>
      <c r="AX48" s="1" t="str">
        <f>IF(ISBLANK(PriceData!AX46),"",PriceData!AX46)</f>
        <v/>
      </c>
      <c r="AY48" s="1" t="str">
        <f>IF(ISBLANK(PriceData!AY46),"",PriceData!AY46)</f>
        <v/>
      </c>
      <c r="AZ48" s="1" t="str">
        <f>IF(ISBLANK(PriceData!AZ46),"",PriceData!AZ46)</f>
        <v/>
      </c>
      <c r="BA48" s="1" t="str">
        <f>IF(ISBLANK(PriceData!BA46),"",PriceData!BA46)</f>
        <v/>
      </c>
      <c r="BB48" s="1" t="str">
        <f>IF(ISBLANK(PriceData!BB46),"",PriceData!BB46)</f>
        <v/>
      </c>
      <c r="BC48" s="1" t="str">
        <f>IF(ISBLANK(PriceData!BC46),"",PriceData!BC46)</f>
        <v/>
      </c>
      <c r="BD48" s="1" t="str">
        <f>IF(ISBLANK(PriceData!BD46),"",PriceData!BD46)</f>
        <v/>
      </c>
      <c r="BE48" s="1" t="str">
        <f>IF(ISBLANK(PriceData!BE46),"",PriceData!BE46)</f>
        <v/>
      </c>
      <c r="BF48" s="1" t="str">
        <f>IF(ISBLANK(PriceData!BF46),"",PriceData!BF46)</f>
        <v/>
      </c>
      <c r="BG48" s="1" t="str">
        <f>IF(ISBLANK(PriceData!BG46),"",PriceData!BG46)</f>
        <v/>
      </c>
      <c r="BH48" s="1" t="str">
        <f>IF(ISBLANK(PriceData!BH46),"",PriceData!BH46)</f>
        <v/>
      </c>
      <c r="BI48" s="1" t="str">
        <f>IF(ISBLANK(PriceData!BI46),"",PriceData!BI46)</f>
        <v/>
      </c>
      <c r="BJ48" s="1" t="str">
        <f>IF(ISBLANK(PriceData!BJ46),"",PriceData!BJ46)</f>
        <v/>
      </c>
      <c r="BK48" s="1" t="str">
        <f>IF(ISBLANK(PriceData!BK46),"",PriceData!BK46)</f>
        <v/>
      </c>
      <c r="BL48" s="1" t="str">
        <f>IF(ISBLANK(PriceData!BL46),"",PriceData!BL46)</f>
        <v/>
      </c>
      <c r="BM48" s="1" t="str">
        <f>IF(ISBLANK(PriceData!BM46),"",PriceData!BM46)</f>
        <v/>
      </c>
      <c r="BN48" s="1" t="str">
        <f>IF(ISBLANK(PriceData!BN46),"",PriceData!BN46)</f>
        <v/>
      </c>
      <c r="BO48" s="1" t="str">
        <f>IF(ISBLANK(PriceData!BO46),"",PriceData!BO46)</f>
        <v/>
      </c>
      <c r="BP48" s="1" t="str">
        <f>IF(ISBLANK(PriceData!BP46),"",PriceData!BP46)</f>
        <v/>
      </c>
      <c r="BQ48" s="1" t="str">
        <f>IF(ISBLANK(PriceData!BQ46),"",PriceData!BQ46)</f>
        <v/>
      </c>
      <c r="BR48" s="1" t="str">
        <f>IF(ISBLANK(PriceData!BR46),"",PriceData!BR46)</f>
        <v/>
      </c>
      <c r="BS48" s="1" t="str">
        <f>IF(ISBLANK(PriceData!BS46),"",PriceData!BS46)</f>
        <v/>
      </c>
      <c r="BT48" s="1" t="str">
        <f>IF(ISBLANK(PriceData!BT46),"",PriceData!BT46)</f>
        <v/>
      </c>
      <c r="BU48" s="1" t="str">
        <f>IF(ISBLANK(PriceData!BU46),"",PriceData!BU46)</f>
        <v/>
      </c>
      <c r="BV48" s="1" t="str">
        <f>IF(ISBLANK(PriceData!BV46),"",PriceData!BV46)</f>
        <v/>
      </c>
      <c r="BW48" s="1" t="str">
        <f>IF(ISBLANK(PriceData!BW46),"",PriceData!BW46)</f>
        <v/>
      </c>
      <c r="BX48" s="1" t="str">
        <f>IF(ISBLANK(PriceData!BX46),"",PriceData!BX46)</f>
        <v/>
      </c>
      <c r="BY48" s="1" t="str">
        <f>IF(ISBLANK(PriceData!BY46),"",PriceData!BY46)</f>
        <v/>
      </c>
      <c r="BZ48" s="1" t="str">
        <f>IF(ISBLANK(PriceData!BZ46),"",PriceData!BZ46)</f>
        <v/>
      </c>
      <c r="CA48" s="1" t="str">
        <f>IF(ISBLANK(PriceData!CA46),"",PriceData!CA46)</f>
        <v/>
      </c>
      <c r="CB48" s="1" t="str">
        <f>IF(ISBLANK(PriceData!CB46),"",PriceData!CB46)</f>
        <v/>
      </c>
      <c r="CC48" s="1" t="str">
        <f>IF(ISBLANK(PriceData!CC46),"",PriceData!CC46)</f>
        <v/>
      </c>
      <c r="CD48" s="1" t="str">
        <f>IF(ISBLANK(PriceData!CD46),"",PriceData!CD46)</f>
        <v/>
      </c>
      <c r="CE48" s="1" t="str">
        <f>IF(ISBLANK(PriceData!CE46),"",PriceData!CE46)</f>
        <v/>
      </c>
      <c r="CF48" s="1" t="str">
        <f>IF(ISBLANK(PriceData!CF46),"",PriceData!CF46)</f>
        <v/>
      </c>
      <c r="CG48" s="1" t="str">
        <f>IF(ISBLANK(PriceData!CG46),"",PriceData!CG46)</f>
        <v/>
      </c>
      <c r="CH48" s="1" t="str">
        <f>IF(ISBLANK(PriceData!CH46),"",PriceData!CH46)</f>
        <v/>
      </c>
      <c r="CI48" s="1" t="str">
        <f>IF(ISBLANK(PriceData!CI46),"",PriceData!CI46)</f>
        <v/>
      </c>
      <c r="CJ48" s="1" t="str">
        <f>IF(ISBLANK(PriceData!CJ46),"",PriceData!CJ46)</f>
        <v/>
      </c>
      <c r="CK48" s="1" t="str">
        <f>IF(ISBLANK(PriceData!CK46),"",PriceData!CK46)</f>
        <v/>
      </c>
      <c r="CL48" s="1" t="str">
        <f>IF(ISBLANK(PriceData!CL46),"",PriceData!CL46)</f>
        <v/>
      </c>
      <c r="CM48" s="1" t="str">
        <f>IF(ISBLANK(PriceData!CM46),"",PriceData!CM46)</f>
        <v/>
      </c>
      <c r="CN48" s="1" t="str">
        <f>IF(ISBLANK(PriceData!CN46),"",PriceData!CN46)</f>
        <v/>
      </c>
    </row>
    <row r="49" spans="2:92" x14ac:dyDescent="0.25">
      <c r="B49" s="1" t="str">
        <f>IF(ISBLANK(PriceData!A47),"",PriceData!A47)</f>
        <v/>
      </c>
      <c r="C49" s="1" t="str">
        <f>IF(ISBLANK(PriceData!C47),"",PriceData!C47)</f>
        <v/>
      </c>
      <c r="D49" s="1" t="str">
        <f>IF(ISBLANK(PriceData!D47),"",PriceData!D47)</f>
        <v/>
      </c>
      <c r="E49" s="1" t="str">
        <f>IF(ISBLANK(PriceData!E47),"",PriceData!E47)</f>
        <v/>
      </c>
      <c r="F49" s="1" t="str">
        <f>IF(ISBLANK(PriceData!F47),"",PriceData!F47)</f>
        <v/>
      </c>
      <c r="G49" s="1" t="str">
        <f>IF(ISBLANK(PriceData!G47),"",PriceData!G47)</f>
        <v/>
      </c>
      <c r="H49" s="1" t="str">
        <f>IF(ISBLANK(PriceData!H47),"",PriceData!H47)</f>
        <v/>
      </c>
      <c r="I49" s="1" t="str">
        <f>IF(ISBLANK(PriceData!I47),"",PriceData!I47)</f>
        <v/>
      </c>
      <c r="J49" s="1" t="str">
        <f>IF(ISBLANK(PriceData!J47),"",PriceData!J47)</f>
        <v/>
      </c>
      <c r="K49" s="1" t="str">
        <f>IF(ISBLANK(PriceData!K47),"",PriceData!K47)</f>
        <v/>
      </c>
      <c r="L49" s="1" t="str">
        <f>IF(ISBLANK(PriceData!L47),"",PriceData!L47)</f>
        <v/>
      </c>
      <c r="M49" s="1" t="str">
        <f>IF(ISBLANK(PriceData!M47),"",PriceData!M47)</f>
        <v/>
      </c>
      <c r="N49" s="1" t="str">
        <f>IF(ISBLANK(PriceData!N47),"",PriceData!N47)</f>
        <v/>
      </c>
      <c r="O49" s="1" t="str">
        <f>IF(ISBLANK(PriceData!O47),"",PriceData!O47)</f>
        <v/>
      </c>
      <c r="P49" s="1" t="str">
        <f>IF(ISBLANK(PriceData!P47),"",PriceData!P47)</f>
        <v/>
      </c>
      <c r="Q49" s="1" t="str">
        <f>IF(ISBLANK(PriceData!Q47),"",PriceData!Q47)</f>
        <v/>
      </c>
      <c r="R49" s="1" t="str">
        <f>IF(ISBLANK(PriceData!R47),"",PriceData!R47)</f>
        <v/>
      </c>
      <c r="S49" s="1" t="str">
        <f>IF(ISBLANK(PriceData!S47),"",PriceData!S47)</f>
        <v/>
      </c>
      <c r="T49" s="1" t="str">
        <f>IF(ISBLANK(PriceData!T47),"",PriceData!T47)</f>
        <v/>
      </c>
      <c r="U49" s="1" t="str">
        <f>IF(ISBLANK(PriceData!U47),"",PriceData!U47)</f>
        <v/>
      </c>
      <c r="V49" s="1" t="str">
        <f>IF(ISBLANK(PriceData!V47),"",PriceData!V47)</f>
        <v/>
      </c>
      <c r="W49" s="1" t="str">
        <f>IF(ISBLANK(PriceData!W47),"",PriceData!W47)</f>
        <v/>
      </c>
      <c r="X49" s="1" t="str">
        <f>IF(ISBLANK(PriceData!X47),"",PriceData!X47)</f>
        <v/>
      </c>
      <c r="Y49" s="1" t="str">
        <f>IF(ISBLANK(PriceData!Y47),"",PriceData!Y47)</f>
        <v/>
      </c>
      <c r="Z49" s="1" t="str">
        <f>IF(ISBLANK(PriceData!Z47),"",PriceData!Z47)</f>
        <v/>
      </c>
      <c r="AA49" s="1" t="str">
        <f>IF(ISBLANK(PriceData!AA47),"",PriceData!AA47)</f>
        <v/>
      </c>
      <c r="AB49" s="1" t="str">
        <f>IF(ISBLANK(PriceData!AB47),"",PriceData!AB47)</f>
        <v/>
      </c>
      <c r="AC49" s="1" t="str">
        <f>IF(ISBLANK(PriceData!AC47),"",PriceData!AC47)</f>
        <v/>
      </c>
      <c r="AD49" s="1" t="str">
        <f>IF(ISBLANK(PriceData!AD47),"",PriceData!AD47)</f>
        <v/>
      </c>
      <c r="AE49" s="1" t="str">
        <f>IF(ISBLANK(PriceData!AE47),"",PriceData!AE47)</f>
        <v/>
      </c>
      <c r="AF49" s="1" t="str">
        <f>IF(ISBLANK(PriceData!AF47),"",PriceData!AF47)</f>
        <v/>
      </c>
      <c r="AG49" s="1" t="str">
        <f>IF(ISBLANK(PriceData!AG47),"",PriceData!AG47)</f>
        <v/>
      </c>
      <c r="AH49" s="1" t="str">
        <f>IF(ISBLANK(PriceData!AH47),"",PriceData!AH47)</f>
        <v/>
      </c>
      <c r="AI49" s="1" t="str">
        <f>IF(ISBLANK(PriceData!AI47),"",PriceData!AI47)</f>
        <v/>
      </c>
      <c r="AJ49" s="1" t="str">
        <f>IF(ISBLANK(PriceData!AJ47),"",PriceData!AJ47)</f>
        <v/>
      </c>
      <c r="AK49" s="1" t="str">
        <f>IF(ISBLANK(PriceData!AK47),"",PriceData!AK47)</f>
        <v/>
      </c>
      <c r="AL49" s="1" t="str">
        <f>IF(ISBLANK(PriceData!AL47),"",PriceData!AL47)</f>
        <v/>
      </c>
      <c r="AM49" s="1" t="str">
        <f>IF(ISBLANK(PriceData!AM47),"",PriceData!AM47)</f>
        <v/>
      </c>
      <c r="AN49" s="1" t="str">
        <f>IF(ISBLANK(PriceData!AN47),"",PriceData!AN47)</f>
        <v/>
      </c>
      <c r="AO49" s="1" t="str">
        <f>IF(ISBLANK(PriceData!AO47),"",PriceData!AO47)</f>
        <v/>
      </c>
      <c r="AP49" s="1" t="str">
        <f>IF(ISBLANK(PriceData!AP47),"",PriceData!AP47)</f>
        <v/>
      </c>
      <c r="AQ49" s="1" t="str">
        <f>IF(ISBLANK(PriceData!AQ47),"",PriceData!AQ47)</f>
        <v/>
      </c>
      <c r="AR49" s="1" t="str">
        <f>IF(ISBLANK(PriceData!AR47),"",PriceData!AR47)</f>
        <v/>
      </c>
      <c r="AS49" s="1" t="str">
        <f>IF(ISBLANK(PriceData!AS47),"",PriceData!AS47)</f>
        <v/>
      </c>
      <c r="AT49" s="1" t="str">
        <f>IF(ISBLANK(PriceData!AT47),"",PriceData!AT47)</f>
        <v/>
      </c>
      <c r="AU49" s="1" t="str">
        <f>IF(ISBLANK(PriceData!AU47),"",PriceData!AU47)</f>
        <v/>
      </c>
      <c r="AV49" s="1" t="str">
        <f>IF(ISBLANK(PriceData!AV47),"",PriceData!AV47)</f>
        <v/>
      </c>
      <c r="AW49" s="1" t="str">
        <f>IF(ISBLANK(PriceData!AW47),"",PriceData!AW47)</f>
        <v/>
      </c>
      <c r="AX49" s="1" t="str">
        <f>IF(ISBLANK(PriceData!AX47),"",PriceData!AX47)</f>
        <v/>
      </c>
      <c r="AY49" s="1" t="str">
        <f>IF(ISBLANK(PriceData!AY47),"",PriceData!AY47)</f>
        <v/>
      </c>
      <c r="AZ49" s="1" t="str">
        <f>IF(ISBLANK(PriceData!AZ47),"",PriceData!AZ47)</f>
        <v/>
      </c>
      <c r="BA49" s="1" t="str">
        <f>IF(ISBLANK(PriceData!BA47),"",PriceData!BA47)</f>
        <v/>
      </c>
      <c r="BB49" s="1" t="str">
        <f>IF(ISBLANK(PriceData!BB47),"",PriceData!BB47)</f>
        <v/>
      </c>
      <c r="BC49" s="1" t="str">
        <f>IF(ISBLANK(PriceData!BC47),"",PriceData!BC47)</f>
        <v/>
      </c>
      <c r="BD49" s="1" t="str">
        <f>IF(ISBLANK(PriceData!BD47),"",PriceData!BD47)</f>
        <v/>
      </c>
      <c r="BE49" s="1" t="str">
        <f>IF(ISBLANK(PriceData!BE47),"",PriceData!BE47)</f>
        <v/>
      </c>
      <c r="BF49" s="1" t="str">
        <f>IF(ISBLANK(PriceData!BF47),"",PriceData!BF47)</f>
        <v/>
      </c>
      <c r="BG49" s="1" t="str">
        <f>IF(ISBLANK(PriceData!BG47),"",PriceData!BG47)</f>
        <v/>
      </c>
      <c r="BH49" s="1" t="str">
        <f>IF(ISBLANK(PriceData!BH47),"",PriceData!BH47)</f>
        <v/>
      </c>
      <c r="BI49" s="1" t="str">
        <f>IF(ISBLANK(PriceData!BI47),"",PriceData!BI47)</f>
        <v/>
      </c>
      <c r="BJ49" s="1" t="str">
        <f>IF(ISBLANK(PriceData!BJ47),"",PriceData!BJ47)</f>
        <v/>
      </c>
      <c r="BK49" s="1" t="str">
        <f>IF(ISBLANK(PriceData!BK47),"",PriceData!BK47)</f>
        <v/>
      </c>
      <c r="BL49" s="1" t="str">
        <f>IF(ISBLANK(PriceData!BL47),"",PriceData!BL47)</f>
        <v/>
      </c>
      <c r="BM49" s="1" t="str">
        <f>IF(ISBLANK(PriceData!BM47),"",PriceData!BM47)</f>
        <v/>
      </c>
      <c r="BN49" s="1" t="str">
        <f>IF(ISBLANK(PriceData!BN47),"",PriceData!BN47)</f>
        <v/>
      </c>
      <c r="BO49" s="1" t="str">
        <f>IF(ISBLANK(PriceData!BO47),"",PriceData!BO47)</f>
        <v/>
      </c>
      <c r="BP49" s="1" t="str">
        <f>IF(ISBLANK(PriceData!BP47),"",PriceData!BP47)</f>
        <v/>
      </c>
      <c r="BQ49" s="1" t="str">
        <f>IF(ISBLANK(PriceData!BQ47),"",PriceData!BQ47)</f>
        <v/>
      </c>
      <c r="BR49" s="1" t="str">
        <f>IF(ISBLANK(PriceData!BR47),"",PriceData!BR47)</f>
        <v/>
      </c>
      <c r="BS49" s="1" t="str">
        <f>IF(ISBLANK(PriceData!BS47),"",PriceData!BS47)</f>
        <v/>
      </c>
      <c r="BT49" s="1" t="str">
        <f>IF(ISBLANK(PriceData!BT47),"",PriceData!BT47)</f>
        <v/>
      </c>
      <c r="BU49" s="1" t="str">
        <f>IF(ISBLANK(PriceData!BU47),"",PriceData!BU47)</f>
        <v/>
      </c>
      <c r="BV49" s="1" t="str">
        <f>IF(ISBLANK(PriceData!BV47),"",PriceData!BV47)</f>
        <v/>
      </c>
      <c r="BW49" s="1" t="str">
        <f>IF(ISBLANK(PriceData!BW47),"",PriceData!BW47)</f>
        <v/>
      </c>
      <c r="BX49" s="1" t="str">
        <f>IF(ISBLANK(PriceData!BX47),"",PriceData!BX47)</f>
        <v/>
      </c>
      <c r="BY49" s="1" t="str">
        <f>IF(ISBLANK(PriceData!BY47),"",PriceData!BY47)</f>
        <v/>
      </c>
      <c r="BZ49" s="1" t="str">
        <f>IF(ISBLANK(PriceData!BZ47),"",PriceData!BZ47)</f>
        <v/>
      </c>
      <c r="CA49" s="1" t="str">
        <f>IF(ISBLANK(PriceData!CA47),"",PriceData!CA47)</f>
        <v/>
      </c>
      <c r="CB49" s="1" t="str">
        <f>IF(ISBLANK(PriceData!CB47),"",PriceData!CB47)</f>
        <v/>
      </c>
      <c r="CC49" s="1" t="str">
        <f>IF(ISBLANK(PriceData!CC47),"",PriceData!CC47)</f>
        <v/>
      </c>
      <c r="CD49" s="1" t="str">
        <f>IF(ISBLANK(PriceData!CD47),"",PriceData!CD47)</f>
        <v/>
      </c>
      <c r="CE49" s="1" t="str">
        <f>IF(ISBLANK(PriceData!CE47),"",PriceData!CE47)</f>
        <v/>
      </c>
      <c r="CF49" s="1" t="str">
        <f>IF(ISBLANK(PriceData!CF47),"",PriceData!CF47)</f>
        <v/>
      </c>
      <c r="CG49" s="1" t="str">
        <f>IF(ISBLANK(PriceData!CG47),"",PriceData!CG47)</f>
        <v/>
      </c>
      <c r="CH49" s="1" t="str">
        <f>IF(ISBLANK(PriceData!CH47),"",PriceData!CH47)</f>
        <v/>
      </c>
      <c r="CI49" s="1" t="str">
        <f>IF(ISBLANK(PriceData!CI47),"",PriceData!CI47)</f>
        <v/>
      </c>
      <c r="CJ49" s="1" t="str">
        <f>IF(ISBLANK(PriceData!CJ47),"",PriceData!CJ47)</f>
        <v/>
      </c>
      <c r="CK49" s="1" t="str">
        <f>IF(ISBLANK(PriceData!CK47),"",PriceData!CK47)</f>
        <v/>
      </c>
      <c r="CL49" s="1" t="str">
        <f>IF(ISBLANK(PriceData!CL47),"",PriceData!CL47)</f>
        <v/>
      </c>
      <c r="CM49" s="1" t="str">
        <f>IF(ISBLANK(PriceData!CM47),"",PriceData!CM47)</f>
        <v/>
      </c>
      <c r="CN49" s="1" t="str">
        <f>IF(ISBLANK(PriceData!CN47),"",PriceData!CN47)</f>
        <v/>
      </c>
    </row>
    <row r="50" spans="2:92" x14ac:dyDescent="0.25">
      <c r="B50" s="1" t="str">
        <f>IF(ISBLANK(PriceData!A48),"",PriceData!A48)</f>
        <v/>
      </c>
      <c r="C50" s="1" t="str">
        <f>IF(ISBLANK(PriceData!C48),"",PriceData!C48)</f>
        <v/>
      </c>
      <c r="D50" s="1" t="str">
        <f>IF(ISBLANK(PriceData!D48),"",PriceData!D48)</f>
        <v/>
      </c>
      <c r="E50" s="1" t="str">
        <f>IF(ISBLANK(PriceData!E48),"",PriceData!E48)</f>
        <v/>
      </c>
      <c r="F50" s="1" t="str">
        <f>IF(ISBLANK(PriceData!F48),"",PriceData!F48)</f>
        <v/>
      </c>
      <c r="G50" s="1" t="str">
        <f>IF(ISBLANK(PriceData!G48),"",PriceData!G48)</f>
        <v/>
      </c>
      <c r="H50" s="1" t="str">
        <f>IF(ISBLANK(PriceData!H48),"",PriceData!H48)</f>
        <v/>
      </c>
      <c r="I50" s="1" t="str">
        <f>IF(ISBLANK(PriceData!I48),"",PriceData!I48)</f>
        <v/>
      </c>
      <c r="J50" s="1" t="str">
        <f>IF(ISBLANK(PriceData!J48),"",PriceData!J48)</f>
        <v/>
      </c>
      <c r="K50" s="1" t="str">
        <f>IF(ISBLANK(PriceData!K48),"",PriceData!K48)</f>
        <v/>
      </c>
      <c r="L50" s="1" t="str">
        <f>IF(ISBLANK(PriceData!L48),"",PriceData!L48)</f>
        <v/>
      </c>
      <c r="M50" s="1" t="str">
        <f>IF(ISBLANK(PriceData!M48),"",PriceData!M48)</f>
        <v/>
      </c>
      <c r="N50" s="1" t="str">
        <f>IF(ISBLANK(PriceData!N48),"",PriceData!N48)</f>
        <v/>
      </c>
      <c r="O50" s="1" t="str">
        <f>IF(ISBLANK(PriceData!O48),"",PriceData!O48)</f>
        <v/>
      </c>
      <c r="P50" s="1" t="str">
        <f>IF(ISBLANK(PriceData!P48),"",PriceData!P48)</f>
        <v/>
      </c>
      <c r="Q50" s="1" t="str">
        <f>IF(ISBLANK(PriceData!Q48),"",PriceData!Q48)</f>
        <v/>
      </c>
      <c r="R50" s="1" t="str">
        <f>IF(ISBLANK(PriceData!R48),"",PriceData!R48)</f>
        <v/>
      </c>
      <c r="S50" s="1" t="str">
        <f>IF(ISBLANK(PriceData!S48),"",PriceData!S48)</f>
        <v/>
      </c>
      <c r="T50" s="1" t="str">
        <f>IF(ISBLANK(PriceData!T48),"",PriceData!T48)</f>
        <v/>
      </c>
      <c r="U50" s="1" t="str">
        <f>IF(ISBLANK(PriceData!U48),"",PriceData!U48)</f>
        <v/>
      </c>
      <c r="V50" s="1" t="str">
        <f>IF(ISBLANK(PriceData!V48),"",PriceData!V48)</f>
        <v/>
      </c>
      <c r="W50" s="1" t="str">
        <f>IF(ISBLANK(PriceData!W48),"",PriceData!W48)</f>
        <v/>
      </c>
      <c r="X50" s="1" t="str">
        <f>IF(ISBLANK(PriceData!X48),"",PriceData!X48)</f>
        <v/>
      </c>
      <c r="Y50" s="1" t="str">
        <f>IF(ISBLANK(PriceData!Y48),"",PriceData!Y48)</f>
        <v/>
      </c>
      <c r="Z50" s="1" t="str">
        <f>IF(ISBLANK(PriceData!Z48),"",PriceData!Z48)</f>
        <v/>
      </c>
      <c r="AA50" s="1" t="str">
        <f>IF(ISBLANK(PriceData!AA48),"",PriceData!AA48)</f>
        <v/>
      </c>
      <c r="AB50" s="1" t="str">
        <f>IF(ISBLANK(PriceData!AB48),"",PriceData!AB48)</f>
        <v/>
      </c>
      <c r="AC50" s="1" t="str">
        <f>IF(ISBLANK(PriceData!AC48),"",PriceData!AC48)</f>
        <v/>
      </c>
      <c r="AD50" s="1" t="str">
        <f>IF(ISBLANK(PriceData!AD48),"",PriceData!AD48)</f>
        <v/>
      </c>
      <c r="AE50" s="1" t="str">
        <f>IF(ISBLANK(PriceData!AE48),"",PriceData!AE48)</f>
        <v/>
      </c>
      <c r="AF50" s="1" t="str">
        <f>IF(ISBLANK(PriceData!AF48),"",PriceData!AF48)</f>
        <v/>
      </c>
      <c r="AG50" s="1" t="str">
        <f>IF(ISBLANK(PriceData!AG48),"",PriceData!AG48)</f>
        <v/>
      </c>
      <c r="AH50" s="1" t="str">
        <f>IF(ISBLANK(PriceData!AH48),"",PriceData!AH48)</f>
        <v/>
      </c>
      <c r="AI50" s="1" t="str">
        <f>IF(ISBLANK(PriceData!AI48),"",PriceData!AI48)</f>
        <v/>
      </c>
      <c r="AJ50" s="1" t="str">
        <f>IF(ISBLANK(PriceData!AJ48),"",PriceData!AJ48)</f>
        <v/>
      </c>
      <c r="AK50" s="1" t="str">
        <f>IF(ISBLANK(PriceData!AK48),"",PriceData!AK48)</f>
        <v/>
      </c>
      <c r="AL50" s="1" t="str">
        <f>IF(ISBLANK(PriceData!AL48),"",PriceData!AL48)</f>
        <v/>
      </c>
      <c r="AM50" s="1" t="str">
        <f>IF(ISBLANK(PriceData!AM48),"",PriceData!AM48)</f>
        <v/>
      </c>
      <c r="AN50" s="1" t="str">
        <f>IF(ISBLANK(PriceData!AN48),"",PriceData!AN48)</f>
        <v/>
      </c>
      <c r="AO50" s="1" t="str">
        <f>IF(ISBLANK(PriceData!AO48),"",PriceData!AO48)</f>
        <v/>
      </c>
      <c r="AP50" s="1" t="str">
        <f>IF(ISBLANK(PriceData!AP48),"",PriceData!AP48)</f>
        <v/>
      </c>
      <c r="AQ50" s="1" t="str">
        <f>IF(ISBLANK(PriceData!AQ48),"",PriceData!AQ48)</f>
        <v/>
      </c>
      <c r="AR50" s="1" t="str">
        <f>IF(ISBLANK(PriceData!AR48),"",PriceData!AR48)</f>
        <v/>
      </c>
      <c r="AS50" s="1" t="str">
        <f>IF(ISBLANK(PriceData!AS48),"",PriceData!AS48)</f>
        <v/>
      </c>
      <c r="AT50" s="1" t="str">
        <f>IF(ISBLANK(PriceData!AT48),"",PriceData!AT48)</f>
        <v/>
      </c>
      <c r="AU50" s="1" t="str">
        <f>IF(ISBLANK(PriceData!AU48),"",PriceData!AU48)</f>
        <v/>
      </c>
      <c r="AV50" s="1" t="str">
        <f>IF(ISBLANK(PriceData!AV48),"",PriceData!AV48)</f>
        <v/>
      </c>
      <c r="AW50" s="1" t="str">
        <f>IF(ISBLANK(PriceData!AW48),"",PriceData!AW48)</f>
        <v/>
      </c>
      <c r="AX50" s="1" t="str">
        <f>IF(ISBLANK(PriceData!AX48),"",PriceData!AX48)</f>
        <v/>
      </c>
      <c r="AY50" s="1" t="str">
        <f>IF(ISBLANK(PriceData!AY48),"",PriceData!AY48)</f>
        <v/>
      </c>
      <c r="AZ50" s="1" t="str">
        <f>IF(ISBLANK(PriceData!AZ48),"",PriceData!AZ48)</f>
        <v/>
      </c>
      <c r="BA50" s="1" t="str">
        <f>IF(ISBLANK(PriceData!BA48),"",PriceData!BA48)</f>
        <v/>
      </c>
      <c r="BB50" s="1" t="str">
        <f>IF(ISBLANK(PriceData!BB48),"",PriceData!BB48)</f>
        <v/>
      </c>
      <c r="BC50" s="1" t="str">
        <f>IF(ISBLANK(PriceData!BC48),"",PriceData!BC48)</f>
        <v/>
      </c>
      <c r="BD50" s="1" t="str">
        <f>IF(ISBLANK(PriceData!BD48),"",PriceData!BD48)</f>
        <v/>
      </c>
      <c r="BE50" s="1" t="str">
        <f>IF(ISBLANK(PriceData!BE48),"",PriceData!BE48)</f>
        <v/>
      </c>
      <c r="BF50" s="1" t="str">
        <f>IF(ISBLANK(PriceData!BF48),"",PriceData!BF48)</f>
        <v/>
      </c>
      <c r="BG50" s="1" t="str">
        <f>IF(ISBLANK(PriceData!BG48),"",PriceData!BG48)</f>
        <v/>
      </c>
      <c r="BH50" s="1" t="str">
        <f>IF(ISBLANK(PriceData!BH48),"",PriceData!BH48)</f>
        <v/>
      </c>
      <c r="BI50" s="1" t="str">
        <f>IF(ISBLANK(PriceData!BI48),"",PriceData!BI48)</f>
        <v/>
      </c>
      <c r="BJ50" s="1" t="str">
        <f>IF(ISBLANK(PriceData!BJ48),"",PriceData!BJ48)</f>
        <v/>
      </c>
      <c r="BK50" s="1" t="str">
        <f>IF(ISBLANK(PriceData!BK48),"",PriceData!BK48)</f>
        <v/>
      </c>
      <c r="BL50" s="1" t="str">
        <f>IF(ISBLANK(PriceData!BL48),"",PriceData!BL48)</f>
        <v/>
      </c>
      <c r="BM50" s="1" t="str">
        <f>IF(ISBLANK(PriceData!BM48),"",PriceData!BM48)</f>
        <v/>
      </c>
      <c r="BN50" s="1" t="str">
        <f>IF(ISBLANK(PriceData!BN48),"",PriceData!BN48)</f>
        <v/>
      </c>
      <c r="BO50" s="1" t="str">
        <f>IF(ISBLANK(PriceData!BO48),"",PriceData!BO48)</f>
        <v/>
      </c>
      <c r="BP50" s="1" t="str">
        <f>IF(ISBLANK(PriceData!BP48),"",PriceData!BP48)</f>
        <v/>
      </c>
      <c r="BQ50" s="1" t="str">
        <f>IF(ISBLANK(PriceData!BQ48),"",PriceData!BQ48)</f>
        <v/>
      </c>
      <c r="BR50" s="1" t="str">
        <f>IF(ISBLANK(PriceData!BR48),"",PriceData!BR48)</f>
        <v/>
      </c>
      <c r="BS50" s="1" t="str">
        <f>IF(ISBLANK(PriceData!BS48),"",PriceData!BS48)</f>
        <v/>
      </c>
      <c r="BT50" s="1" t="str">
        <f>IF(ISBLANK(PriceData!BT48),"",PriceData!BT48)</f>
        <v/>
      </c>
      <c r="BU50" s="1" t="str">
        <f>IF(ISBLANK(PriceData!BU48),"",PriceData!BU48)</f>
        <v/>
      </c>
      <c r="BV50" s="1" t="str">
        <f>IF(ISBLANK(PriceData!BV48),"",PriceData!BV48)</f>
        <v/>
      </c>
      <c r="BW50" s="1" t="str">
        <f>IF(ISBLANK(PriceData!BW48),"",PriceData!BW48)</f>
        <v/>
      </c>
      <c r="BX50" s="1" t="str">
        <f>IF(ISBLANK(PriceData!BX48),"",PriceData!BX48)</f>
        <v/>
      </c>
      <c r="BY50" s="1" t="str">
        <f>IF(ISBLANK(PriceData!BY48),"",PriceData!BY48)</f>
        <v/>
      </c>
      <c r="BZ50" s="1" t="str">
        <f>IF(ISBLANK(PriceData!BZ48),"",PriceData!BZ48)</f>
        <v/>
      </c>
      <c r="CA50" s="1" t="str">
        <f>IF(ISBLANK(PriceData!CA48),"",PriceData!CA48)</f>
        <v/>
      </c>
      <c r="CB50" s="1" t="str">
        <f>IF(ISBLANK(PriceData!CB48),"",PriceData!CB48)</f>
        <v/>
      </c>
      <c r="CC50" s="1" t="str">
        <f>IF(ISBLANK(PriceData!CC48),"",PriceData!CC48)</f>
        <v/>
      </c>
      <c r="CD50" s="1" t="str">
        <f>IF(ISBLANK(PriceData!CD48),"",PriceData!CD48)</f>
        <v/>
      </c>
      <c r="CE50" s="1" t="str">
        <f>IF(ISBLANK(PriceData!CE48),"",PriceData!CE48)</f>
        <v/>
      </c>
      <c r="CF50" s="1" t="str">
        <f>IF(ISBLANK(PriceData!CF48),"",PriceData!CF48)</f>
        <v/>
      </c>
      <c r="CG50" s="1" t="str">
        <f>IF(ISBLANK(PriceData!CG48),"",PriceData!CG48)</f>
        <v/>
      </c>
      <c r="CH50" s="1" t="str">
        <f>IF(ISBLANK(PriceData!CH48),"",PriceData!CH48)</f>
        <v/>
      </c>
      <c r="CI50" s="1" t="str">
        <f>IF(ISBLANK(PriceData!CI48),"",PriceData!CI48)</f>
        <v/>
      </c>
      <c r="CJ50" s="1" t="str">
        <f>IF(ISBLANK(PriceData!CJ48),"",PriceData!CJ48)</f>
        <v/>
      </c>
      <c r="CK50" s="1" t="str">
        <f>IF(ISBLANK(PriceData!CK48),"",PriceData!CK48)</f>
        <v/>
      </c>
      <c r="CL50" s="1" t="str">
        <f>IF(ISBLANK(PriceData!CL48),"",PriceData!CL48)</f>
        <v/>
      </c>
      <c r="CM50" s="1" t="str">
        <f>IF(ISBLANK(PriceData!CM48),"",PriceData!CM48)</f>
        <v/>
      </c>
      <c r="CN50" s="1" t="str">
        <f>IF(ISBLANK(PriceData!CN48),"",PriceData!CN48)</f>
        <v/>
      </c>
    </row>
    <row r="51" spans="2:92" x14ac:dyDescent="0.25">
      <c r="B51" s="1" t="str">
        <f>IF(ISBLANK(PriceData!A49),"",PriceData!A49)</f>
        <v/>
      </c>
      <c r="C51" s="1" t="str">
        <f>IF(ISBLANK(PriceData!C49),"",PriceData!C49)</f>
        <v/>
      </c>
      <c r="D51" s="1" t="str">
        <f>IF(ISBLANK(PriceData!D49),"",PriceData!D49)</f>
        <v/>
      </c>
      <c r="E51" s="1" t="str">
        <f>IF(ISBLANK(PriceData!E49),"",PriceData!E49)</f>
        <v/>
      </c>
      <c r="F51" s="1" t="str">
        <f>IF(ISBLANK(PriceData!F49),"",PriceData!F49)</f>
        <v/>
      </c>
      <c r="G51" s="1" t="str">
        <f>IF(ISBLANK(PriceData!G49),"",PriceData!G49)</f>
        <v/>
      </c>
      <c r="H51" s="1" t="str">
        <f>IF(ISBLANK(PriceData!H49),"",PriceData!H49)</f>
        <v/>
      </c>
      <c r="I51" s="1" t="str">
        <f>IF(ISBLANK(PriceData!I49),"",PriceData!I49)</f>
        <v/>
      </c>
      <c r="J51" s="1" t="str">
        <f>IF(ISBLANK(PriceData!J49),"",PriceData!J49)</f>
        <v/>
      </c>
      <c r="K51" s="1" t="str">
        <f>IF(ISBLANK(PriceData!K49),"",PriceData!K49)</f>
        <v/>
      </c>
      <c r="L51" s="1" t="str">
        <f>IF(ISBLANK(PriceData!L49),"",PriceData!L49)</f>
        <v/>
      </c>
      <c r="M51" s="1" t="str">
        <f>IF(ISBLANK(PriceData!M49),"",PriceData!M49)</f>
        <v/>
      </c>
      <c r="N51" s="1" t="str">
        <f>IF(ISBLANK(PriceData!N49),"",PriceData!N49)</f>
        <v/>
      </c>
      <c r="O51" s="1" t="str">
        <f>IF(ISBLANK(PriceData!O49),"",PriceData!O49)</f>
        <v/>
      </c>
      <c r="P51" s="1" t="str">
        <f>IF(ISBLANK(PriceData!P49),"",PriceData!P49)</f>
        <v/>
      </c>
      <c r="Q51" s="1" t="str">
        <f>IF(ISBLANK(PriceData!Q49),"",PriceData!Q49)</f>
        <v/>
      </c>
      <c r="R51" s="1" t="str">
        <f>IF(ISBLANK(PriceData!R49),"",PriceData!R49)</f>
        <v/>
      </c>
      <c r="S51" s="1" t="str">
        <f>IF(ISBLANK(PriceData!S49),"",PriceData!S49)</f>
        <v/>
      </c>
      <c r="T51" s="1" t="str">
        <f>IF(ISBLANK(PriceData!T49),"",PriceData!T49)</f>
        <v/>
      </c>
      <c r="U51" s="1" t="str">
        <f>IF(ISBLANK(PriceData!U49),"",PriceData!U49)</f>
        <v/>
      </c>
      <c r="V51" s="1" t="str">
        <f>IF(ISBLANK(PriceData!V49),"",PriceData!V49)</f>
        <v/>
      </c>
      <c r="W51" s="1" t="str">
        <f>IF(ISBLANK(PriceData!W49),"",PriceData!W49)</f>
        <v/>
      </c>
      <c r="X51" s="1" t="str">
        <f>IF(ISBLANK(PriceData!X49),"",PriceData!X49)</f>
        <v/>
      </c>
      <c r="Y51" s="1" t="str">
        <f>IF(ISBLANK(PriceData!Y49),"",PriceData!Y49)</f>
        <v/>
      </c>
      <c r="Z51" s="1" t="str">
        <f>IF(ISBLANK(PriceData!Z49),"",PriceData!Z49)</f>
        <v/>
      </c>
      <c r="AA51" s="1" t="str">
        <f>IF(ISBLANK(PriceData!AA49),"",PriceData!AA49)</f>
        <v/>
      </c>
      <c r="AB51" s="1" t="str">
        <f>IF(ISBLANK(PriceData!AB49),"",PriceData!AB49)</f>
        <v/>
      </c>
      <c r="AC51" s="1" t="str">
        <f>IF(ISBLANK(PriceData!AC49),"",PriceData!AC49)</f>
        <v/>
      </c>
      <c r="AD51" s="1" t="str">
        <f>IF(ISBLANK(PriceData!AD49),"",PriceData!AD49)</f>
        <v/>
      </c>
      <c r="AE51" s="1" t="str">
        <f>IF(ISBLANK(PriceData!AE49),"",PriceData!AE49)</f>
        <v/>
      </c>
      <c r="AF51" s="1" t="str">
        <f>IF(ISBLANK(PriceData!AF49),"",PriceData!AF49)</f>
        <v/>
      </c>
      <c r="AG51" s="1" t="str">
        <f>IF(ISBLANK(PriceData!AG49),"",PriceData!AG49)</f>
        <v/>
      </c>
      <c r="AH51" s="1" t="str">
        <f>IF(ISBLANK(PriceData!AH49),"",PriceData!AH49)</f>
        <v/>
      </c>
      <c r="AI51" s="1" t="str">
        <f>IF(ISBLANK(PriceData!AI49),"",PriceData!AI49)</f>
        <v/>
      </c>
      <c r="AJ51" s="1" t="str">
        <f>IF(ISBLANK(PriceData!AJ49),"",PriceData!AJ49)</f>
        <v/>
      </c>
      <c r="AK51" s="1" t="str">
        <f>IF(ISBLANK(PriceData!AK49),"",PriceData!AK49)</f>
        <v/>
      </c>
      <c r="AL51" s="1" t="str">
        <f>IF(ISBLANK(PriceData!AL49),"",PriceData!AL49)</f>
        <v/>
      </c>
      <c r="AM51" s="1" t="str">
        <f>IF(ISBLANK(PriceData!AM49),"",PriceData!AM49)</f>
        <v/>
      </c>
      <c r="AN51" s="1" t="str">
        <f>IF(ISBLANK(PriceData!AN49),"",PriceData!AN49)</f>
        <v/>
      </c>
      <c r="AO51" s="1" t="str">
        <f>IF(ISBLANK(PriceData!AO49),"",PriceData!AO49)</f>
        <v/>
      </c>
      <c r="AP51" s="1" t="str">
        <f>IF(ISBLANK(PriceData!AP49),"",PriceData!AP49)</f>
        <v/>
      </c>
      <c r="AQ51" s="1" t="str">
        <f>IF(ISBLANK(PriceData!AQ49),"",PriceData!AQ49)</f>
        <v/>
      </c>
      <c r="AR51" s="1" t="str">
        <f>IF(ISBLANK(PriceData!AR49),"",PriceData!AR49)</f>
        <v/>
      </c>
      <c r="AS51" s="1" t="str">
        <f>IF(ISBLANK(PriceData!AS49),"",PriceData!AS49)</f>
        <v/>
      </c>
      <c r="AT51" s="1" t="str">
        <f>IF(ISBLANK(PriceData!AT49),"",PriceData!AT49)</f>
        <v/>
      </c>
      <c r="AU51" s="1" t="str">
        <f>IF(ISBLANK(PriceData!AU49),"",PriceData!AU49)</f>
        <v/>
      </c>
      <c r="AV51" s="1" t="str">
        <f>IF(ISBLANK(PriceData!AV49),"",PriceData!AV49)</f>
        <v/>
      </c>
      <c r="AW51" s="1" t="str">
        <f>IF(ISBLANK(PriceData!AW49),"",PriceData!AW49)</f>
        <v/>
      </c>
      <c r="AX51" s="1" t="str">
        <f>IF(ISBLANK(PriceData!AX49),"",PriceData!AX49)</f>
        <v/>
      </c>
      <c r="AY51" s="1" t="str">
        <f>IF(ISBLANK(PriceData!AY49),"",PriceData!AY49)</f>
        <v/>
      </c>
      <c r="AZ51" s="1" t="str">
        <f>IF(ISBLANK(PriceData!AZ49),"",PriceData!AZ49)</f>
        <v/>
      </c>
      <c r="BA51" s="1" t="str">
        <f>IF(ISBLANK(PriceData!BA49),"",PriceData!BA49)</f>
        <v/>
      </c>
      <c r="BB51" s="1" t="str">
        <f>IF(ISBLANK(PriceData!BB49),"",PriceData!BB49)</f>
        <v/>
      </c>
      <c r="BC51" s="1" t="str">
        <f>IF(ISBLANK(PriceData!BC49),"",PriceData!BC49)</f>
        <v/>
      </c>
      <c r="BD51" s="1" t="str">
        <f>IF(ISBLANK(PriceData!BD49),"",PriceData!BD49)</f>
        <v/>
      </c>
      <c r="BE51" s="1" t="str">
        <f>IF(ISBLANK(PriceData!BE49),"",PriceData!BE49)</f>
        <v/>
      </c>
      <c r="BF51" s="1" t="str">
        <f>IF(ISBLANK(PriceData!BF49),"",PriceData!BF49)</f>
        <v/>
      </c>
      <c r="BG51" s="1" t="str">
        <f>IF(ISBLANK(PriceData!BG49),"",PriceData!BG49)</f>
        <v/>
      </c>
      <c r="BH51" s="1" t="str">
        <f>IF(ISBLANK(PriceData!BH49),"",PriceData!BH49)</f>
        <v/>
      </c>
      <c r="BI51" s="1" t="str">
        <f>IF(ISBLANK(PriceData!BI49),"",PriceData!BI49)</f>
        <v/>
      </c>
      <c r="BJ51" s="1" t="str">
        <f>IF(ISBLANK(PriceData!BJ49),"",PriceData!BJ49)</f>
        <v/>
      </c>
      <c r="BK51" s="1" t="str">
        <f>IF(ISBLANK(PriceData!BK49),"",PriceData!BK49)</f>
        <v/>
      </c>
      <c r="BL51" s="1" t="str">
        <f>IF(ISBLANK(PriceData!BL49),"",PriceData!BL49)</f>
        <v/>
      </c>
      <c r="BM51" s="1" t="str">
        <f>IF(ISBLANK(PriceData!BM49),"",PriceData!BM49)</f>
        <v/>
      </c>
      <c r="BN51" s="1" t="str">
        <f>IF(ISBLANK(PriceData!BN49),"",PriceData!BN49)</f>
        <v/>
      </c>
      <c r="BO51" s="1" t="str">
        <f>IF(ISBLANK(PriceData!BO49),"",PriceData!BO49)</f>
        <v/>
      </c>
      <c r="BP51" s="1" t="str">
        <f>IF(ISBLANK(PriceData!BP49),"",PriceData!BP49)</f>
        <v/>
      </c>
      <c r="BQ51" s="1" t="str">
        <f>IF(ISBLANK(PriceData!BQ49),"",PriceData!BQ49)</f>
        <v/>
      </c>
      <c r="BR51" s="1" t="str">
        <f>IF(ISBLANK(PriceData!BR49),"",PriceData!BR49)</f>
        <v/>
      </c>
      <c r="BS51" s="1" t="str">
        <f>IF(ISBLANK(PriceData!BS49),"",PriceData!BS49)</f>
        <v/>
      </c>
      <c r="BT51" s="1" t="str">
        <f>IF(ISBLANK(PriceData!BT49),"",PriceData!BT49)</f>
        <v/>
      </c>
      <c r="BU51" s="1" t="str">
        <f>IF(ISBLANK(PriceData!BU49),"",PriceData!BU49)</f>
        <v/>
      </c>
      <c r="BV51" s="1" t="str">
        <f>IF(ISBLANK(PriceData!BV49),"",PriceData!BV49)</f>
        <v/>
      </c>
      <c r="BW51" s="1" t="str">
        <f>IF(ISBLANK(PriceData!BW49),"",PriceData!BW49)</f>
        <v/>
      </c>
      <c r="BX51" s="1" t="str">
        <f>IF(ISBLANK(PriceData!BX49),"",PriceData!BX49)</f>
        <v/>
      </c>
      <c r="BY51" s="1" t="str">
        <f>IF(ISBLANK(PriceData!BY49),"",PriceData!BY49)</f>
        <v/>
      </c>
      <c r="BZ51" s="1" t="str">
        <f>IF(ISBLANK(PriceData!BZ49),"",PriceData!BZ49)</f>
        <v/>
      </c>
      <c r="CA51" s="1" t="str">
        <f>IF(ISBLANK(PriceData!CA49),"",PriceData!CA49)</f>
        <v/>
      </c>
      <c r="CB51" s="1" t="str">
        <f>IF(ISBLANK(PriceData!CB49),"",PriceData!CB49)</f>
        <v/>
      </c>
      <c r="CC51" s="1" t="str">
        <f>IF(ISBLANK(PriceData!CC49),"",PriceData!CC49)</f>
        <v/>
      </c>
      <c r="CD51" s="1" t="str">
        <f>IF(ISBLANK(PriceData!CD49),"",PriceData!CD49)</f>
        <v/>
      </c>
      <c r="CE51" s="1" t="str">
        <f>IF(ISBLANK(PriceData!CE49),"",PriceData!CE49)</f>
        <v/>
      </c>
      <c r="CF51" s="1" t="str">
        <f>IF(ISBLANK(PriceData!CF49),"",PriceData!CF49)</f>
        <v/>
      </c>
      <c r="CG51" s="1" t="str">
        <f>IF(ISBLANK(PriceData!CG49),"",PriceData!CG49)</f>
        <v/>
      </c>
      <c r="CH51" s="1" t="str">
        <f>IF(ISBLANK(PriceData!CH49),"",PriceData!CH49)</f>
        <v/>
      </c>
      <c r="CI51" s="1" t="str">
        <f>IF(ISBLANK(PriceData!CI49),"",PriceData!CI49)</f>
        <v/>
      </c>
      <c r="CJ51" s="1" t="str">
        <f>IF(ISBLANK(PriceData!CJ49),"",PriceData!CJ49)</f>
        <v/>
      </c>
      <c r="CK51" s="1" t="str">
        <f>IF(ISBLANK(PriceData!CK49),"",PriceData!CK49)</f>
        <v/>
      </c>
      <c r="CL51" s="1" t="str">
        <f>IF(ISBLANK(PriceData!CL49),"",PriceData!CL49)</f>
        <v/>
      </c>
      <c r="CM51" s="1" t="str">
        <f>IF(ISBLANK(PriceData!CM49),"",PriceData!CM49)</f>
        <v/>
      </c>
      <c r="CN51" s="1" t="str">
        <f>IF(ISBLANK(PriceData!CN49),"",PriceData!CN49)</f>
        <v/>
      </c>
    </row>
    <row r="52" spans="2:92" x14ac:dyDescent="0.25">
      <c r="B52" s="1" t="str">
        <f>IF(ISBLANK(PriceData!A50),"",PriceData!A50)</f>
        <v/>
      </c>
      <c r="C52" s="1" t="str">
        <f>IF(ISBLANK(PriceData!C50),"",PriceData!C50)</f>
        <v/>
      </c>
      <c r="D52" s="1" t="str">
        <f>IF(ISBLANK(PriceData!D50),"",PriceData!D50)</f>
        <v/>
      </c>
      <c r="E52" s="1" t="str">
        <f>IF(ISBLANK(PriceData!E50),"",PriceData!E50)</f>
        <v/>
      </c>
      <c r="F52" s="1" t="str">
        <f>IF(ISBLANK(PriceData!F50),"",PriceData!F50)</f>
        <v/>
      </c>
      <c r="G52" s="1" t="str">
        <f>IF(ISBLANK(PriceData!G50),"",PriceData!G50)</f>
        <v/>
      </c>
      <c r="H52" s="1" t="str">
        <f>IF(ISBLANK(PriceData!H50),"",PriceData!H50)</f>
        <v/>
      </c>
      <c r="I52" s="1" t="str">
        <f>IF(ISBLANK(PriceData!I50),"",PriceData!I50)</f>
        <v/>
      </c>
      <c r="J52" s="1" t="str">
        <f>IF(ISBLANK(PriceData!J50),"",PriceData!J50)</f>
        <v/>
      </c>
      <c r="K52" s="1" t="str">
        <f>IF(ISBLANK(PriceData!K50),"",PriceData!K50)</f>
        <v/>
      </c>
      <c r="L52" s="1" t="str">
        <f>IF(ISBLANK(PriceData!L50),"",PriceData!L50)</f>
        <v/>
      </c>
      <c r="M52" s="1" t="str">
        <f>IF(ISBLANK(PriceData!M50),"",PriceData!M50)</f>
        <v/>
      </c>
      <c r="N52" s="1" t="str">
        <f>IF(ISBLANK(PriceData!N50),"",PriceData!N50)</f>
        <v/>
      </c>
      <c r="O52" s="1" t="str">
        <f>IF(ISBLANK(PriceData!O50),"",PriceData!O50)</f>
        <v/>
      </c>
      <c r="P52" s="1" t="str">
        <f>IF(ISBLANK(PriceData!P50),"",PriceData!P50)</f>
        <v/>
      </c>
      <c r="Q52" s="1" t="str">
        <f>IF(ISBLANK(PriceData!Q50),"",PriceData!Q50)</f>
        <v/>
      </c>
      <c r="R52" s="1" t="str">
        <f>IF(ISBLANK(PriceData!R50),"",PriceData!R50)</f>
        <v/>
      </c>
      <c r="S52" s="1" t="str">
        <f>IF(ISBLANK(PriceData!S50),"",PriceData!S50)</f>
        <v/>
      </c>
      <c r="T52" s="1" t="str">
        <f>IF(ISBLANK(PriceData!T50),"",PriceData!T50)</f>
        <v/>
      </c>
      <c r="U52" s="1" t="str">
        <f>IF(ISBLANK(PriceData!U50),"",PriceData!U50)</f>
        <v/>
      </c>
      <c r="V52" s="1" t="str">
        <f>IF(ISBLANK(PriceData!V50),"",PriceData!V50)</f>
        <v/>
      </c>
      <c r="W52" s="1" t="str">
        <f>IF(ISBLANK(PriceData!W50),"",PriceData!W50)</f>
        <v/>
      </c>
      <c r="X52" s="1" t="str">
        <f>IF(ISBLANK(PriceData!X50),"",PriceData!X50)</f>
        <v/>
      </c>
      <c r="Y52" s="1" t="str">
        <f>IF(ISBLANK(PriceData!Y50),"",PriceData!Y50)</f>
        <v/>
      </c>
      <c r="Z52" s="1" t="str">
        <f>IF(ISBLANK(PriceData!Z50),"",PriceData!Z50)</f>
        <v/>
      </c>
      <c r="AA52" s="1" t="str">
        <f>IF(ISBLANK(PriceData!AA50),"",PriceData!AA50)</f>
        <v/>
      </c>
      <c r="AB52" s="1" t="str">
        <f>IF(ISBLANK(PriceData!AB50),"",PriceData!AB50)</f>
        <v/>
      </c>
      <c r="AC52" s="1" t="str">
        <f>IF(ISBLANK(PriceData!AC50),"",PriceData!AC50)</f>
        <v/>
      </c>
      <c r="AD52" s="1" t="str">
        <f>IF(ISBLANK(PriceData!AD50),"",PriceData!AD50)</f>
        <v/>
      </c>
      <c r="AE52" s="1" t="str">
        <f>IF(ISBLANK(PriceData!AE50),"",PriceData!AE50)</f>
        <v/>
      </c>
      <c r="AF52" s="1" t="str">
        <f>IF(ISBLANK(PriceData!AF50),"",PriceData!AF50)</f>
        <v/>
      </c>
      <c r="AG52" s="1" t="str">
        <f>IF(ISBLANK(PriceData!AG50),"",PriceData!AG50)</f>
        <v/>
      </c>
      <c r="AH52" s="1" t="str">
        <f>IF(ISBLANK(PriceData!AH50),"",PriceData!AH50)</f>
        <v/>
      </c>
      <c r="AI52" s="1" t="str">
        <f>IF(ISBLANK(PriceData!AI50),"",PriceData!AI50)</f>
        <v/>
      </c>
      <c r="AJ52" s="1" t="str">
        <f>IF(ISBLANK(PriceData!AJ50),"",PriceData!AJ50)</f>
        <v/>
      </c>
      <c r="AK52" s="1" t="str">
        <f>IF(ISBLANK(PriceData!AK50),"",PriceData!AK50)</f>
        <v/>
      </c>
      <c r="AL52" s="1" t="str">
        <f>IF(ISBLANK(PriceData!AL50),"",PriceData!AL50)</f>
        <v/>
      </c>
      <c r="AM52" s="1" t="str">
        <f>IF(ISBLANK(PriceData!AM50),"",PriceData!AM50)</f>
        <v/>
      </c>
      <c r="AN52" s="1" t="str">
        <f>IF(ISBLANK(PriceData!AN50),"",PriceData!AN50)</f>
        <v/>
      </c>
      <c r="AO52" s="1" t="str">
        <f>IF(ISBLANK(PriceData!AO50),"",PriceData!AO50)</f>
        <v/>
      </c>
      <c r="AP52" s="1" t="str">
        <f>IF(ISBLANK(PriceData!AP50),"",PriceData!AP50)</f>
        <v/>
      </c>
      <c r="AQ52" s="1" t="str">
        <f>IF(ISBLANK(PriceData!AQ50),"",PriceData!AQ50)</f>
        <v/>
      </c>
      <c r="AR52" s="1" t="str">
        <f>IF(ISBLANK(PriceData!AR50),"",PriceData!AR50)</f>
        <v/>
      </c>
      <c r="AS52" s="1" t="str">
        <f>IF(ISBLANK(PriceData!AS50),"",PriceData!AS50)</f>
        <v/>
      </c>
      <c r="AT52" s="1" t="str">
        <f>IF(ISBLANK(PriceData!AT50),"",PriceData!AT50)</f>
        <v/>
      </c>
      <c r="AU52" s="1" t="str">
        <f>IF(ISBLANK(PriceData!AU50),"",PriceData!AU50)</f>
        <v/>
      </c>
      <c r="AV52" s="1" t="str">
        <f>IF(ISBLANK(PriceData!AV50),"",PriceData!AV50)</f>
        <v/>
      </c>
      <c r="AW52" s="1" t="str">
        <f>IF(ISBLANK(PriceData!AW50),"",PriceData!AW50)</f>
        <v/>
      </c>
      <c r="AX52" s="1" t="str">
        <f>IF(ISBLANK(PriceData!AX50),"",PriceData!AX50)</f>
        <v/>
      </c>
      <c r="AY52" s="1" t="str">
        <f>IF(ISBLANK(PriceData!AY50),"",PriceData!AY50)</f>
        <v/>
      </c>
      <c r="AZ52" s="1" t="str">
        <f>IF(ISBLANK(PriceData!AZ50),"",PriceData!AZ50)</f>
        <v/>
      </c>
      <c r="BA52" s="1" t="str">
        <f>IF(ISBLANK(PriceData!BA50),"",PriceData!BA50)</f>
        <v/>
      </c>
      <c r="BB52" s="1" t="str">
        <f>IF(ISBLANK(PriceData!BB50),"",PriceData!BB50)</f>
        <v/>
      </c>
      <c r="BC52" s="1" t="str">
        <f>IF(ISBLANK(PriceData!BC50),"",PriceData!BC50)</f>
        <v/>
      </c>
      <c r="BD52" s="1" t="str">
        <f>IF(ISBLANK(PriceData!BD50),"",PriceData!BD50)</f>
        <v/>
      </c>
      <c r="BE52" s="1" t="str">
        <f>IF(ISBLANK(PriceData!BE50),"",PriceData!BE50)</f>
        <v/>
      </c>
      <c r="BF52" s="1" t="str">
        <f>IF(ISBLANK(PriceData!BF50),"",PriceData!BF50)</f>
        <v/>
      </c>
      <c r="BG52" s="1" t="str">
        <f>IF(ISBLANK(PriceData!BG50),"",PriceData!BG50)</f>
        <v/>
      </c>
      <c r="BH52" s="1" t="str">
        <f>IF(ISBLANK(PriceData!BH50),"",PriceData!BH50)</f>
        <v/>
      </c>
      <c r="BI52" s="1" t="str">
        <f>IF(ISBLANK(PriceData!BI50),"",PriceData!BI50)</f>
        <v/>
      </c>
      <c r="BJ52" s="1" t="str">
        <f>IF(ISBLANK(PriceData!BJ50),"",PriceData!BJ50)</f>
        <v/>
      </c>
      <c r="BK52" s="1" t="str">
        <f>IF(ISBLANK(PriceData!BK50),"",PriceData!BK50)</f>
        <v/>
      </c>
      <c r="BL52" s="1" t="str">
        <f>IF(ISBLANK(PriceData!BL50),"",PriceData!BL50)</f>
        <v/>
      </c>
      <c r="BM52" s="1" t="str">
        <f>IF(ISBLANK(PriceData!BM50),"",PriceData!BM50)</f>
        <v/>
      </c>
      <c r="BN52" s="1" t="str">
        <f>IF(ISBLANK(PriceData!BN50),"",PriceData!BN50)</f>
        <v/>
      </c>
      <c r="BO52" s="1" t="str">
        <f>IF(ISBLANK(PriceData!BO50),"",PriceData!BO50)</f>
        <v/>
      </c>
      <c r="BP52" s="1" t="str">
        <f>IF(ISBLANK(PriceData!BP50),"",PriceData!BP50)</f>
        <v/>
      </c>
      <c r="BQ52" s="1" t="str">
        <f>IF(ISBLANK(PriceData!BQ50),"",PriceData!BQ50)</f>
        <v/>
      </c>
      <c r="BR52" s="1" t="str">
        <f>IF(ISBLANK(PriceData!BR50),"",PriceData!BR50)</f>
        <v/>
      </c>
      <c r="BS52" s="1" t="str">
        <f>IF(ISBLANK(PriceData!BS50),"",PriceData!BS50)</f>
        <v/>
      </c>
      <c r="BT52" s="1" t="str">
        <f>IF(ISBLANK(PriceData!BT50),"",PriceData!BT50)</f>
        <v/>
      </c>
      <c r="BU52" s="1" t="str">
        <f>IF(ISBLANK(PriceData!BU50),"",PriceData!BU50)</f>
        <v/>
      </c>
      <c r="BV52" s="1" t="str">
        <f>IF(ISBLANK(PriceData!BV50),"",PriceData!BV50)</f>
        <v/>
      </c>
      <c r="BW52" s="1" t="str">
        <f>IF(ISBLANK(PriceData!BW50),"",PriceData!BW50)</f>
        <v/>
      </c>
      <c r="BX52" s="1" t="str">
        <f>IF(ISBLANK(PriceData!BX50),"",PriceData!BX50)</f>
        <v/>
      </c>
      <c r="BY52" s="1" t="str">
        <f>IF(ISBLANK(PriceData!BY50),"",PriceData!BY50)</f>
        <v/>
      </c>
      <c r="BZ52" s="1" t="str">
        <f>IF(ISBLANK(PriceData!BZ50),"",PriceData!BZ50)</f>
        <v/>
      </c>
      <c r="CA52" s="1" t="str">
        <f>IF(ISBLANK(PriceData!CA50),"",PriceData!CA50)</f>
        <v/>
      </c>
      <c r="CB52" s="1" t="str">
        <f>IF(ISBLANK(PriceData!CB50),"",PriceData!CB50)</f>
        <v/>
      </c>
      <c r="CC52" s="1" t="str">
        <f>IF(ISBLANK(PriceData!CC50),"",PriceData!CC50)</f>
        <v/>
      </c>
      <c r="CD52" s="1" t="str">
        <f>IF(ISBLANK(PriceData!CD50),"",PriceData!CD50)</f>
        <v/>
      </c>
      <c r="CE52" s="1" t="str">
        <f>IF(ISBLANK(PriceData!CE50),"",PriceData!CE50)</f>
        <v/>
      </c>
      <c r="CF52" s="1" t="str">
        <f>IF(ISBLANK(PriceData!CF50),"",PriceData!CF50)</f>
        <v/>
      </c>
      <c r="CG52" s="1" t="str">
        <f>IF(ISBLANK(PriceData!CG50),"",PriceData!CG50)</f>
        <v/>
      </c>
      <c r="CH52" s="1" t="str">
        <f>IF(ISBLANK(PriceData!CH50),"",PriceData!CH50)</f>
        <v/>
      </c>
      <c r="CI52" s="1" t="str">
        <f>IF(ISBLANK(PriceData!CI50),"",PriceData!CI50)</f>
        <v/>
      </c>
      <c r="CJ52" s="1" t="str">
        <f>IF(ISBLANK(PriceData!CJ50),"",PriceData!CJ50)</f>
        <v/>
      </c>
      <c r="CK52" s="1" t="str">
        <f>IF(ISBLANK(PriceData!CK50),"",PriceData!CK50)</f>
        <v/>
      </c>
      <c r="CL52" s="1" t="str">
        <f>IF(ISBLANK(PriceData!CL50),"",PriceData!CL50)</f>
        <v/>
      </c>
      <c r="CM52" s="1" t="str">
        <f>IF(ISBLANK(PriceData!CM50),"",PriceData!CM50)</f>
        <v/>
      </c>
      <c r="CN52" s="1" t="str">
        <f>IF(ISBLANK(PriceData!CN50),"",PriceData!CN50)</f>
        <v/>
      </c>
    </row>
    <row r="53" spans="2:92" x14ac:dyDescent="0.25">
      <c r="B53" s="1" t="str">
        <f>IF(ISBLANK(PriceData!A51),"",PriceData!A51)</f>
        <v/>
      </c>
      <c r="C53" s="1" t="str">
        <f>IF(ISBLANK(PriceData!C51),"",PriceData!C51)</f>
        <v/>
      </c>
      <c r="D53" s="1" t="str">
        <f>IF(ISBLANK(PriceData!D51),"",PriceData!D51)</f>
        <v/>
      </c>
      <c r="E53" s="1" t="str">
        <f>IF(ISBLANK(PriceData!E51),"",PriceData!E51)</f>
        <v/>
      </c>
      <c r="F53" s="1" t="str">
        <f>IF(ISBLANK(PriceData!F51),"",PriceData!F51)</f>
        <v/>
      </c>
      <c r="G53" s="1" t="str">
        <f>IF(ISBLANK(PriceData!G51),"",PriceData!G51)</f>
        <v/>
      </c>
      <c r="H53" s="1" t="str">
        <f>IF(ISBLANK(PriceData!H51),"",PriceData!H51)</f>
        <v/>
      </c>
      <c r="I53" s="1" t="str">
        <f>IF(ISBLANK(PriceData!I51),"",PriceData!I51)</f>
        <v/>
      </c>
      <c r="J53" s="1" t="str">
        <f>IF(ISBLANK(PriceData!J51),"",PriceData!J51)</f>
        <v/>
      </c>
      <c r="K53" s="1" t="str">
        <f>IF(ISBLANK(PriceData!K51),"",PriceData!K51)</f>
        <v/>
      </c>
      <c r="L53" s="1" t="str">
        <f>IF(ISBLANK(PriceData!L51),"",PriceData!L51)</f>
        <v/>
      </c>
      <c r="M53" s="1" t="str">
        <f>IF(ISBLANK(PriceData!M51),"",PriceData!M51)</f>
        <v/>
      </c>
      <c r="N53" s="1" t="str">
        <f>IF(ISBLANK(PriceData!N51),"",PriceData!N51)</f>
        <v/>
      </c>
      <c r="O53" s="1" t="str">
        <f>IF(ISBLANK(PriceData!O51),"",PriceData!O51)</f>
        <v/>
      </c>
      <c r="P53" s="1" t="str">
        <f>IF(ISBLANK(PriceData!P51),"",PriceData!P51)</f>
        <v/>
      </c>
      <c r="Q53" s="1" t="str">
        <f>IF(ISBLANK(PriceData!Q51),"",PriceData!Q51)</f>
        <v/>
      </c>
      <c r="R53" s="1" t="str">
        <f>IF(ISBLANK(PriceData!R51),"",PriceData!R51)</f>
        <v/>
      </c>
      <c r="S53" s="1" t="str">
        <f>IF(ISBLANK(PriceData!S51),"",PriceData!S51)</f>
        <v/>
      </c>
      <c r="T53" s="1" t="str">
        <f>IF(ISBLANK(PriceData!T51),"",PriceData!T51)</f>
        <v/>
      </c>
      <c r="U53" s="1" t="str">
        <f>IF(ISBLANK(PriceData!U51),"",PriceData!U51)</f>
        <v/>
      </c>
      <c r="V53" s="1" t="str">
        <f>IF(ISBLANK(PriceData!V51),"",PriceData!V51)</f>
        <v/>
      </c>
      <c r="W53" s="1" t="str">
        <f>IF(ISBLANK(PriceData!W51),"",PriceData!W51)</f>
        <v/>
      </c>
      <c r="X53" s="1" t="str">
        <f>IF(ISBLANK(PriceData!X51),"",PriceData!X51)</f>
        <v/>
      </c>
      <c r="Y53" s="1" t="str">
        <f>IF(ISBLANK(PriceData!Y51),"",PriceData!Y51)</f>
        <v/>
      </c>
      <c r="Z53" s="1" t="str">
        <f>IF(ISBLANK(PriceData!Z51),"",PriceData!Z51)</f>
        <v/>
      </c>
      <c r="AA53" s="1" t="str">
        <f>IF(ISBLANK(PriceData!AA51),"",PriceData!AA51)</f>
        <v/>
      </c>
      <c r="AB53" s="1" t="str">
        <f>IF(ISBLANK(PriceData!AB51),"",PriceData!AB51)</f>
        <v/>
      </c>
      <c r="AC53" s="1" t="str">
        <f>IF(ISBLANK(PriceData!AC51),"",PriceData!AC51)</f>
        <v/>
      </c>
      <c r="AD53" s="1" t="str">
        <f>IF(ISBLANK(PriceData!AD51),"",PriceData!AD51)</f>
        <v/>
      </c>
      <c r="AE53" s="1" t="str">
        <f>IF(ISBLANK(PriceData!AE51),"",PriceData!AE51)</f>
        <v/>
      </c>
      <c r="AF53" s="1" t="str">
        <f>IF(ISBLANK(PriceData!AF51),"",PriceData!AF51)</f>
        <v/>
      </c>
      <c r="AG53" s="1" t="str">
        <f>IF(ISBLANK(PriceData!AG51),"",PriceData!AG51)</f>
        <v/>
      </c>
      <c r="AH53" s="1" t="str">
        <f>IF(ISBLANK(PriceData!AH51),"",PriceData!AH51)</f>
        <v/>
      </c>
      <c r="AI53" s="1" t="str">
        <f>IF(ISBLANK(PriceData!AI51),"",PriceData!AI51)</f>
        <v/>
      </c>
      <c r="AJ53" s="1" t="str">
        <f>IF(ISBLANK(PriceData!AJ51),"",PriceData!AJ51)</f>
        <v/>
      </c>
      <c r="AK53" s="1" t="str">
        <f>IF(ISBLANK(PriceData!AK51),"",PriceData!AK51)</f>
        <v/>
      </c>
      <c r="AL53" s="1" t="str">
        <f>IF(ISBLANK(PriceData!AL51),"",PriceData!AL51)</f>
        <v/>
      </c>
      <c r="AM53" s="1" t="str">
        <f>IF(ISBLANK(PriceData!AM51),"",PriceData!AM51)</f>
        <v/>
      </c>
      <c r="AN53" s="1" t="str">
        <f>IF(ISBLANK(PriceData!AN51),"",PriceData!AN51)</f>
        <v/>
      </c>
      <c r="AO53" s="1" t="str">
        <f>IF(ISBLANK(PriceData!AO51),"",PriceData!AO51)</f>
        <v/>
      </c>
      <c r="AP53" s="1" t="str">
        <f>IF(ISBLANK(PriceData!AP51),"",PriceData!AP51)</f>
        <v/>
      </c>
      <c r="AQ53" s="1" t="str">
        <f>IF(ISBLANK(PriceData!AQ51),"",PriceData!AQ51)</f>
        <v/>
      </c>
      <c r="AR53" s="1" t="str">
        <f>IF(ISBLANK(PriceData!AR51),"",PriceData!AR51)</f>
        <v/>
      </c>
      <c r="AS53" s="1" t="str">
        <f>IF(ISBLANK(PriceData!AS51),"",PriceData!AS51)</f>
        <v/>
      </c>
      <c r="AT53" s="1" t="str">
        <f>IF(ISBLANK(PriceData!AT51),"",PriceData!AT51)</f>
        <v/>
      </c>
      <c r="AU53" s="1" t="str">
        <f>IF(ISBLANK(PriceData!AU51),"",PriceData!AU51)</f>
        <v/>
      </c>
      <c r="AV53" s="1" t="str">
        <f>IF(ISBLANK(PriceData!AV51),"",PriceData!AV51)</f>
        <v/>
      </c>
      <c r="AW53" s="1" t="str">
        <f>IF(ISBLANK(PriceData!AW51),"",PriceData!AW51)</f>
        <v/>
      </c>
      <c r="AX53" s="1" t="str">
        <f>IF(ISBLANK(PriceData!AX51),"",PriceData!AX51)</f>
        <v/>
      </c>
      <c r="AY53" s="1" t="str">
        <f>IF(ISBLANK(PriceData!AY51),"",PriceData!AY51)</f>
        <v/>
      </c>
      <c r="AZ53" s="1" t="str">
        <f>IF(ISBLANK(PriceData!AZ51),"",PriceData!AZ51)</f>
        <v/>
      </c>
      <c r="BA53" s="1" t="str">
        <f>IF(ISBLANK(PriceData!BA51),"",PriceData!BA51)</f>
        <v/>
      </c>
      <c r="BB53" s="1" t="str">
        <f>IF(ISBLANK(PriceData!BB51),"",PriceData!BB51)</f>
        <v/>
      </c>
      <c r="BC53" s="1" t="str">
        <f>IF(ISBLANK(PriceData!BC51),"",PriceData!BC51)</f>
        <v/>
      </c>
      <c r="BD53" s="1" t="str">
        <f>IF(ISBLANK(PriceData!BD51),"",PriceData!BD51)</f>
        <v/>
      </c>
      <c r="BE53" s="1" t="str">
        <f>IF(ISBLANK(PriceData!BE51),"",PriceData!BE51)</f>
        <v/>
      </c>
      <c r="BF53" s="1" t="str">
        <f>IF(ISBLANK(PriceData!BF51),"",PriceData!BF51)</f>
        <v/>
      </c>
      <c r="BG53" s="1" t="str">
        <f>IF(ISBLANK(PriceData!BG51),"",PriceData!BG51)</f>
        <v/>
      </c>
      <c r="BH53" s="1" t="str">
        <f>IF(ISBLANK(PriceData!BH51),"",PriceData!BH51)</f>
        <v/>
      </c>
      <c r="BI53" s="1" t="str">
        <f>IF(ISBLANK(PriceData!BI51),"",PriceData!BI51)</f>
        <v/>
      </c>
      <c r="BJ53" s="1" t="str">
        <f>IF(ISBLANK(PriceData!BJ51),"",PriceData!BJ51)</f>
        <v/>
      </c>
      <c r="BK53" s="1" t="str">
        <f>IF(ISBLANK(PriceData!BK51),"",PriceData!BK51)</f>
        <v/>
      </c>
      <c r="BL53" s="1" t="str">
        <f>IF(ISBLANK(PriceData!BL51),"",PriceData!BL51)</f>
        <v/>
      </c>
      <c r="BM53" s="1" t="str">
        <f>IF(ISBLANK(PriceData!BM51),"",PriceData!BM51)</f>
        <v/>
      </c>
      <c r="BN53" s="1" t="str">
        <f>IF(ISBLANK(PriceData!BN51),"",PriceData!BN51)</f>
        <v/>
      </c>
      <c r="BO53" s="1" t="str">
        <f>IF(ISBLANK(PriceData!BO51),"",PriceData!BO51)</f>
        <v/>
      </c>
      <c r="BP53" s="1" t="str">
        <f>IF(ISBLANK(PriceData!BP51),"",PriceData!BP51)</f>
        <v/>
      </c>
      <c r="BQ53" s="1" t="str">
        <f>IF(ISBLANK(PriceData!BQ51),"",PriceData!BQ51)</f>
        <v/>
      </c>
      <c r="BR53" s="1" t="str">
        <f>IF(ISBLANK(PriceData!BR51),"",PriceData!BR51)</f>
        <v/>
      </c>
      <c r="BS53" s="1" t="str">
        <f>IF(ISBLANK(PriceData!BS51),"",PriceData!BS51)</f>
        <v/>
      </c>
      <c r="BT53" s="1" t="str">
        <f>IF(ISBLANK(PriceData!BT51),"",PriceData!BT51)</f>
        <v/>
      </c>
      <c r="BU53" s="1" t="str">
        <f>IF(ISBLANK(PriceData!BU51),"",PriceData!BU51)</f>
        <v/>
      </c>
      <c r="BV53" s="1" t="str">
        <f>IF(ISBLANK(PriceData!BV51),"",PriceData!BV51)</f>
        <v/>
      </c>
      <c r="BW53" s="1" t="str">
        <f>IF(ISBLANK(PriceData!BW51),"",PriceData!BW51)</f>
        <v/>
      </c>
      <c r="BX53" s="1" t="str">
        <f>IF(ISBLANK(PriceData!BX51),"",PriceData!BX51)</f>
        <v/>
      </c>
      <c r="BY53" s="1" t="str">
        <f>IF(ISBLANK(PriceData!BY51),"",PriceData!BY51)</f>
        <v/>
      </c>
      <c r="BZ53" s="1" t="str">
        <f>IF(ISBLANK(PriceData!BZ51),"",PriceData!BZ51)</f>
        <v/>
      </c>
      <c r="CA53" s="1" t="str">
        <f>IF(ISBLANK(PriceData!CA51),"",PriceData!CA51)</f>
        <v/>
      </c>
      <c r="CB53" s="1" t="str">
        <f>IF(ISBLANK(PriceData!CB51),"",PriceData!CB51)</f>
        <v/>
      </c>
      <c r="CC53" s="1" t="str">
        <f>IF(ISBLANK(PriceData!CC51),"",PriceData!CC51)</f>
        <v/>
      </c>
      <c r="CD53" s="1" t="str">
        <f>IF(ISBLANK(PriceData!CD51),"",PriceData!CD51)</f>
        <v/>
      </c>
      <c r="CE53" s="1" t="str">
        <f>IF(ISBLANK(PriceData!CE51),"",PriceData!CE51)</f>
        <v/>
      </c>
      <c r="CF53" s="1" t="str">
        <f>IF(ISBLANK(PriceData!CF51),"",PriceData!CF51)</f>
        <v/>
      </c>
      <c r="CG53" s="1" t="str">
        <f>IF(ISBLANK(PriceData!CG51),"",PriceData!CG51)</f>
        <v/>
      </c>
      <c r="CH53" s="1" t="str">
        <f>IF(ISBLANK(PriceData!CH51),"",PriceData!CH51)</f>
        <v/>
      </c>
      <c r="CI53" s="1" t="str">
        <f>IF(ISBLANK(PriceData!CI51),"",PriceData!CI51)</f>
        <v/>
      </c>
      <c r="CJ53" s="1" t="str">
        <f>IF(ISBLANK(PriceData!CJ51),"",PriceData!CJ51)</f>
        <v/>
      </c>
      <c r="CK53" s="1" t="str">
        <f>IF(ISBLANK(PriceData!CK51),"",PriceData!CK51)</f>
        <v/>
      </c>
      <c r="CL53" s="1" t="str">
        <f>IF(ISBLANK(PriceData!CL51),"",PriceData!CL51)</f>
        <v/>
      </c>
      <c r="CM53" s="1" t="str">
        <f>IF(ISBLANK(PriceData!CM51),"",PriceData!CM51)</f>
        <v/>
      </c>
      <c r="CN53" s="1" t="str">
        <f>IF(ISBLANK(PriceData!CN51),"",PriceData!CN51)</f>
        <v/>
      </c>
    </row>
    <row r="54" spans="2:92" x14ac:dyDescent="0.25">
      <c r="B54" s="1" t="str">
        <f>IF(ISBLANK(PriceData!A52),"",PriceData!A52)</f>
        <v/>
      </c>
      <c r="C54" s="1" t="str">
        <f>IF(ISBLANK(PriceData!C52),"",PriceData!C52)</f>
        <v/>
      </c>
      <c r="D54" s="1" t="str">
        <f>IF(ISBLANK(PriceData!D52),"",PriceData!D52)</f>
        <v/>
      </c>
      <c r="E54" s="1" t="str">
        <f>IF(ISBLANK(PriceData!E52),"",PriceData!E52)</f>
        <v/>
      </c>
      <c r="F54" s="1" t="str">
        <f>IF(ISBLANK(PriceData!F52),"",PriceData!F52)</f>
        <v/>
      </c>
      <c r="G54" s="1" t="str">
        <f>IF(ISBLANK(PriceData!G52),"",PriceData!G52)</f>
        <v/>
      </c>
      <c r="H54" s="1" t="str">
        <f>IF(ISBLANK(PriceData!H52),"",PriceData!H52)</f>
        <v/>
      </c>
      <c r="I54" s="1" t="str">
        <f>IF(ISBLANK(PriceData!I52),"",PriceData!I52)</f>
        <v/>
      </c>
      <c r="J54" s="1" t="str">
        <f>IF(ISBLANK(PriceData!J52),"",PriceData!J52)</f>
        <v/>
      </c>
      <c r="K54" s="1" t="str">
        <f>IF(ISBLANK(PriceData!K52),"",PriceData!K52)</f>
        <v/>
      </c>
      <c r="L54" s="1" t="str">
        <f>IF(ISBLANK(PriceData!L52),"",PriceData!L52)</f>
        <v/>
      </c>
      <c r="M54" s="1" t="str">
        <f>IF(ISBLANK(PriceData!M52),"",PriceData!M52)</f>
        <v/>
      </c>
      <c r="N54" s="1" t="str">
        <f>IF(ISBLANK(PriceData!N52),"",PriceData!N52)</f>
        <v/>
      </c>
      <c r="O54" s="1" t="str">
        <f>IF(ISBLANK(PriceData!O52),"",PriceData!O52)</f>
        <v/>
      </c>
      <c r="P54" s="1" t="str">
        <f>IF(ISBLANK(PriceData!P52),"",PriceData!P52)</f>
        <v/>
      </c>
      <c r="Q54" s="1" t="str">
        <f>IF(ISBLANK(PriceData!Q52),"",PriceData!Q52)</f>
        <v/>
      </c>
      <c r="R54" s="1" t="str">
        <f>IF(ISBLANK(PriceData!R52),"",PriceData!R52)</f>
        <v/>
      </c>
      <c r="S54" s="1" t="str">
        <f>IF(ISBLANK(PriceData!S52),"",PriceData!S52)</f>
        <v/>
      </c>
      <c r="T54" s="1" t="str">
        <f>IF(ISBLANK(PriceData!T52),"",PriceData!T52)</f>
        <v/>
      </c>
      <c r="U54" s="1" t="str">
        <f>IF(ISBLANK(PriceData!U52),"",PriceData!U52)</f>
        <v/>
      </c>
      <c r="V54" s="1" t="str">
        <f>IF(ISBLANK(PriceData!V52),"",PriceData!V52)</f>
        <v/>
      </c>
      <c r="W54" s="1" t="str">
        <f>IF(ISBLANK(PriceData!W52),"",PriceData!W52)</f>
        <v/>
      </c>
      <c r="X54" s="1" t="str">
        <f>IF(ISBLANK(PriceData!X52),"",PriceData!X52)</f>
        <v/>
      </c>
      <c r="Y54" s="1" t="str">
        <f>IF(ISBLANK(PriceData!Y52),"",PriceData!Y52)</f>
        <v/>
      </c>
      <c r="Z54" s="1" t="str">
        <f>IF(ISBLANK(PriceData!Z52),"",PriceData!Z52)</f>
        <v/>
      </c>
      <c r="AA54" s="1" t="str">
        <f>IF(ISBLANK(PriceData!AA52),"",PriceData!AA52)</f>
        <v/>
      </c>
      <c r="AB54" s="1" t="str">
        <f>IF(ISBLANK(PriceData!AB52),"",PriceData!AB52)</f>
        <v/>
      </c>
      <c r="AC54" s="1" t="str">
        <f>IF(ISBLANK(PriceData!AC52),"",PriceData!AC52)</f>
        <v/>
      </c>
      <c r="AD54" s="1" t="str">
        <f>IF(ISBLANK(PriceData!AD52),"",PriceData!AD52)</f>
        <v/>
      </c>
      <c r="AE54" s="1" t="str">
        <f>IF(ISBLANK(PriceData!AE52),"",PriceData!AE52)</f>
        <v/>
      </c>
      <c r="AF54" s="1" t="str">
        <f>IF(ISBLANK(PriceData!AF52),"",PriceData!AF52)</f>
        <v/>
      </c>
      <c r="AG54" s="1" t="str">
        <f>IF(ISBLANK(PriceData!AG52),"",PriceData!AG52)</f>
        <v/>
      </c>
      <c r="AH54" s="1" t="str">
        <f>IF(ISBLANK(PriceData!AH52),"",PriceData!AH52)</f>
        <v/>
      </c>
      <c r="AI54" s="1" t="str">
        <f>IF(ISBLANK(PriceData!AI52),"",PriceData!AI52)</f>
        <v/>
      </c>
      <c r="AJ54" s="1" t="str">
        <f>IF(ISBLANK(PriceData!AJ52),"",PriceData!AJ52)</f>
        <v/>
      </c>
      <c r="AK54" s="1" t="str">
        <f>IF(ISBLANK(PriceData!AK52),"",PriceData!AK52)</f>
        <v/>
      </c>
      <c r="AL54" s="1" t="str">
        <f>IF(ISBLANK(PriceData!AL52),"",PriceData!AL52)</f>
        <v/>
      </c>
      <c r="AM54" s="1" t="str">
        <f>IF(ISBLANK(PriceData!AM52),"",PriceData!AM52)</f>
        <v/>
      </c>
      <c r="AN54" s="1" t="str">
        <f>IF(ISBLANK(PriceData!AN52),"",PriceData!AN52)</f>
        <v/>
      </c>
      <c r="AO54" s="1" t="str">
        <f>IF(ISBLANK(PriceData!AO52),"",PriceData!AO52)</f>
        <v/>
      </c>
      <c r="AP54" s="1" t="str">
        <f>IF(ISBLANK(PriceData!AP52),"",PriceData!AP52)</f>
        <v/>
      </c>
      <c r="AQ54" s="1" t="str">
        <f>IF(ISBLANK(PriceData!AQ52),"",PriceData!AQ52)</f>
        <v/>
      </c>
      <c r="AR54" s="1" t="str">
        <f>IF(ISBLANK(PriceData!AR52),"",PriceData!AR52)</f>
        <v/>
      </c>
      <c r="AS54" s="1" t="str">
        <f>IF(ISBLANK(PriceData!AS52),"",PriceData!AS52)</f>
        <v/>
      </c>
      <c r="AT54" s="1" t="str">
        <f>IF(ISBLANK(PriceData!AT52),"",PriceData!AT52)</f>
        <v/>
      </c>
      <c r="AU54" s="1" t="str">
        <f>IF(ISBLANK(PriceData!AU52),"",PriceData!AU52)</f>
        <v/>
      </c>
      <c r="AV54" s="1" t="str">
        <f>IF(ISBLANK(PriceData!AV52),"",PriceData!AV52)</f>
        <v/>
      </c>
      <c r="AW54" s="1" t="str">
        <f>IF(ISBLANK(PriceData!AW52),"",PriceData!AW52)</f>
        <v/>
      </c>
      <c r="AX54" s="1" t="str">
        <f>IF(ISBLANK(PriceData!AX52),"",PriceData!AX52)</f>
        <v/>
      </c>
      <c r="AY54" s="1" t="str">
        <f>IF(ISBLANK(PriceData!AY52),"",PriceData!AY52)</f>
        <v/>
      </c>
      <c r="AZ54" s="1" t="str">
        <f>IF(ISBLANK(PriceData!AZ52),"",PriceData!AZ52)</f>
        <v/>
      </c>
      <c r="BA54" s="1" t="str">
        <f>IF(ISBLANK(PriceData!BA52),"",PriceData!BA52)</f>
        <v/>
      </c>
      <c r="BB54" s="1" t="str">
        <f>IF(ISBLANK(PriceData!BB52),"",PriceData!BB52)</f>
        <v/>
      </c>
      <c r="BC54" s="1" t="str">
        <f>IF(ISBLANK(PriceData!BC52),"",PriceData!BC52)</f>
        <v/>
      </c>
      <c r="BD54" s="1" t="str">
        <f>IF(ISBLANK(PriceData!BD52),"",PriceData!BD52)</f>
        <v/>
      </c>
      <c r="BE54" s="1" t="str">
        <f>IF(ISBLANK(PriceData!BE52),"",PriceData!BE52)</f>
        <v/>
      </c>
      <c r="BF54" s="1" t="str">
        <f>IF(ISBLANK(PriceData!BF52),"",PriceData!BF52)</f>
        <v/>
      </c>
      <c r="BG54" s="1" t="str">
        <f>IF(ISBLANK(PriceData!BG52),"",PriceData!BG52)</f>
        <v/>
      </c>
      <c r="BH54" s="1" t="str">
        <f>IF(ISBLANK(PriceData!BH52),"",PriceData!BH52)</f>
        <v/>
      </c>
      <c r="BI54" s="1" t="str">
        <f>IF(ISBLANK(PriceData!BI52),"",PriceData!BI52)</f>
        <v/>
      </c>
      <c r="BJ54" s="1" t="str">
        <f>IF(ISBLANK(PriceData!BJ52),"",PriceData!BJ52)</f>
        <v/>
      </c>
      <c r="BK54" s="1" t="str">
        <f>IF(ISBLANK(PriceData!BK52),"",PriceData!BK52)</f>
        <v/>
      </c>
      <c r="BL54" s="1" t="str">
        <f>IF(ISBLANK(PriceData!BL52),"",PriceData!BL52)</f>
        <v/>
      </c>
      <c r="BM54" s="1" t="str">
        <f>IF(ISBLANK(PriceData!BM52),"",PriceData!BM52)</f>
        <v/>
      </c>
      <c r="BN54" s="1" t="str">
        <f>IF(ISBLANK(PriceData!BN52),"",PriceData!BN52)</f>
        <v/>
      </c>
      <c r="BO54" s="1" t="str">
        <f>IF(ISBLANK(PriceData!BO52),"",PriceData!BO52)</f>
        <v/>
      </c>
      <c r="BP54" s="1" t="str">
        <f>IF(ISBLANK(PriceData!BP52),"",PriceData!BP52)</f>
        <v/>
      </c>
      <c r="BQ54" s="1" t="str">
        <f>IF(ISBLANK(PriceData!BQ52),"",PriceData!BQ52)</f>
        <v/>
      </c>
      <c r="BR54" s="1" t="str">
        <f>IF(ISBLANK(PriceData!BR52),"",PriceData!BR52)</f>
        <v/>
      </c>
      <c r="BS54" s="1" t="str">
        <f>IF(ISBLANK(PriceData!BS52),"",PriceData!BS52)</f>
        <v/>
      </c>
      <c r="BT54" s="1" t="str">
        <f>IF(ISBLANK(PriceData!BT52),"",PriceData!BT52)</f>
        <v/>
      </c>
      <c r="BU54" s="1" t="str">
        <f>IF(ISBLANK(PriceData!BU52),"",PriceData!BU52)</f>
        <v/>
      </c>
      <c r="BV54" s="1" t="str">
        <f>IF(ISBLANK(PriceData!BV52),"",PriceData!BV52)</f>
        <v/>
      </c>
      <c r="BW54" s="1" t="str">
        <f>IF(ISBLANK(PriceData!BW52),"",PriceData!BW52)</f>
        <v/>
      </c>
      <c r="BX54" s="1" t="str">
        <f>IF(ISBLANK(PriceData!BX52),"",PriceData!BX52)</f>
        <v/>
      </c>
      <c r="BY54" s="1" t="str">
        <f>IF(ISBLANK(PriceData!BY52),"",PriceData!BY52)</f>
        <v/>
      </c>
      <c r="BZ54" s="1" t="str">
        <f>IF(ISBLANK(PriceData!BZ52),"",PriceData!BZ52)</f>
        <v/>
      </c>
      <c r="CA54" s="1" t="str">
        <f>IF(ISBLANK(PriceData!CA52),"",PriceData!CA52)</f>
        <v/>
      </c>
      <c r="CB54" s="1" t="str">
        <f>IF(ISBLANK(PriceData!CB52),"",PriceData!CB52)</f>
        <v/>
      </c>
      <c r="CC54" s="1" t="str">
        <f>IF(ISBLANK(PriceData!CC52),"",PriceData!CC52)</f>
        <v/>
      </c>
      <c r="CD54" s="1" t="str">
        <f>IF(ISBLANK(PriceData!CD52),"",PriceData!CD52)</f>
        <v/>
      </c>
      <c r="CE54" s="1" t="str">
        <f>IF(ISBLANK(PriceData!CE52),"",PriceData!CE52)</f>
        <v/>
      </c>
      <c r="CF54" s="1" t="str">
        <f>IF(ISBLANK(PriceData!CF52),"",PriceData!CF52)</f>
        <v/>
      </c>
      <c r="CG54" s="1" t="str">
        <f>IF(ISBLANK(PriceData!CG52),"",PriceData!CG52)</f>
        <v/>
      </c>
      <c r="CH54" s="1" t="str">
        <f>IF(ISBLANK(PriceData!CH52),"",PriceData!CH52)</f>
        <v/>
      </c>
      <c r="CI54" s="1" t="str">
        <f>IF(ISBLANK(PriceData!CI52),"",PriceData!CI52)</f>
        <v/>
      </c>
      <c r="CJ54" s="1" t="str">
        <f>IF(ISBLANK(PriceData!CJ52),"",PriceData!CJ52)</f>
        <v/>
      </c>
      <c r="CK54" s="1" t="str">
        <f>IF(ISBLANK(PriceData!CK52),"",PriceData!CK52)</f>
        <v/>
      </c>
      <c r="CL54" s="1" t="str">
        <f>IF(ISBLANK(PriceData!CL52),"",PriceData!CL52)</f>
        <v/>
      </c>
      <c r="CM54" s="1" t="str">
        <f>IF(ISBLANK(PriceData!CM52),"",PriceData!CM52)</f>
        <v/>
      </c>
      <c r="CN54" s="1" t="str">
        <f>IF(ISBLANK(PriceData!CN52),"",PriceData!CN52)</f>
        <v/>
      </c>
    </row>
    <row r="55" spans="2:92" x14ac:dyDescent="0.25">
      <c r="B55" s="1" t="str">
        <f>IF(ISBLANK(PriceData!A53),"",PriceData!A53)</f>
        <v/>
      </c>
      <c r="C55" s="1" t="str">
        <f>IF(ISBLANK(PriceData!C53),"",PriceData!C53)</f>
        <v/>
      </c>
      <c r="D55" s="1" t="str">
        <f>IF(ISBLANK(PriceData!D53),"",PriceData!D53)</f>
        <v/>
      </c>
      <c r="E55" s="1" t="str">
        <f>IF(ISBLANK(PriceData!E53),"",PriceData!E53)</f>
        <v/>
      </c>
      <c r="F55" s="1" t="str">
        <f>IF(ISBLANK(PriceData!F53),"",PriceData!F53)</f>
        <v/>
      </c>
      <c r="G55" s="1" t="str">
        <f>IF(ISBLANK(PriceData!G53),"",PriceData!G53)</f>
        <v/>
      </c>
      <c r="H55" s="1" t="str">
        <f>IF(ISBLANK(PriceData!H53),"",PriceData!H53)</f>
        <v/>
      </c>
      <c r="I55" s="1" t="str">
        <f>IF(ISBLANK(PriceData!I53),"",PriceData!I53)</f>
        <v/>
      </c>
      <c r="J55" s="1" t="str">
        <f>IF(ISBLANK(PriceData!J53),"",PriceData!J53)</f>
        <v/>
      </c>
      <c r="K55" s="1" t="str">
        <f>IF(ISBLANK(PriceData!K53),"",PriceData!K53)</f>
        <v/>
      </c>
      <c r="L55" s="1" t="str">
        <f>IF(ISBLANK(PriceData!L53),"",PriceData!L53)</f>
        <v/>
      </c>
      <c r="M55" s="1" t="str">
        <f>IF(ISBLANK(PriceData!M53),"",PriceData!M53)</f>
        <v/>
      </c>
      <c r="N55" s="1" t="str">
        <f>IF(ISBLANK(PriceData!N53),"",PriceData!N53)</f>
        <v/>
      </c>
      <c r="O55" s="1" t="str">
        <f>IF(ISBLANK(PriceData!O53),"",PriceData!O53)</f>
        <v/>
      </c>
      <c r="P55" s="1" t="str">
        <f>IF(ISBLANK(PriceData!P53),"",PriceData!P53)</f>
        <v/>
      </c>
      <c r="Q55" s="1" t="str">
        <f>IF(ISBLANK(PriceData!Q53),"",PriceData!Q53)</f>
        <v/>
      </c>
      <c r="R55" s="1" t="str">
        <f>IF(ISBLANK(PriceData!R53),"",PriceData!R53)</f>
        <v/>
      </c>
      <c r="S55" s="1" t="str">
        <f>IF(ISBLANK(PriceData!S53),"",PriceData!S53)</f>
        <v/>
      </c>
      <c r="T55" s="1" t="str">
        <f>IF(ISBLANK(PriceData!T53),"",PriceData!T53)</f>
        <v/>
      </c>
      <c r="U55" s="1" t="str">
        <f>IF(ISBLANK(PriceData!U53),"",PriceData!U53)</f>
        <v/>
      </c>
      <c r="V55" s="1" t="str">
        <f>IF(ISBLANK(PriceData!V53),"",PriceData!V53)</f>
        <v/>
      </c>
      <c r="W55" s="1" t="str">
        <f>IF(ISBLANK(PriceData!W53),"",PriceData!W53)</f>
        <v/>
      </c>
      <c r="X55" s="1" t="str">
        <f>IF(ISBLANK(PriceData!X53),"",PriceData!X53)</f>
        <v/>
      </c>
      <c r="Y55" s="1" t="str">
        <f>IF(ISBLANK(PriceData!Y53),"",PriceData!Y53)</f>
        <v/>
      </c>
      <c r="Z55" s="1" t="str">
        <f>IF(ISBLANK(PriceData!Z53),"",PriceData!Z53)</f>
        <v/>
      </c>
      <c r="AA55" s="1" t="str">
        <f>IF(ISBLANK(PriceData!AA53),"",PriceData!AA53)</f>
        <v/>
      </c>
      <c r="AB55" s="1" t="str">
        <f>IF(ISBLANK(PriceData!AB53),"",PriceData!AB53)</f>
        <v/>
      </c>
      <c r="AC55" s="1" t="str">
        <f>IF(ISBLANK(PriceData!AC53),"",PriceData!AC53)</f>
        <v/>
      </c>
      <c r="AD55" s="1" t="str">
        <f>IF(ISBLANK(PriceData!AD53),"",PriceData!AD53)</f>
        <v/>
      </c>
      <c r="AE55" s="1" t="str">
        <f>IF(ISBLANK(PriceData!AE53),"",PriceData!AE53)</f>
        <v/>
      </c>
      <c r="AF55" s="1" t="str">
        <f>IF(ISBLANK(PriceData!AF53),"",PriceData!AF53)</f>
        <v/>
      </c>
      <c r="AG55" s="1" t="str">
        <f>IF(ISBLANK(PriceData!AG53),"",PriceData!AG53)</f>
        <v/>
      </c>
      <c r="AH55" s="1" t="str">
        <f>IF(ISBLANK(PriceData!AH53),"",PriceData!AH53)</f>
        <v/>
      </c>
      <c r="AI55" s="1" t="str">
        <f>IF(ISBLANK(PriceData!AI53),"",PriceData!AI53)</f>
        <v/>
      </c>
      <c r="AJ55" s="1" t="str">
        <f>IF(ISBLANK(PriceData!AJ53),"",PriceData!AJ53)</f>
        <v/>
      </c>
      <c r="AK55" s="1" t="str">
        <f>IF(ISBLANK(PriceData!AK53),"",PriceData!AK53)</f>
        <v/>
      </c>
      <c r="AL55" s="1" t="str">
        <f>IF(ISBLANK(PriceData!AL53),"",PriceData!AL53)</f>
        <v/>
      </c>
      <c r="AM55" s="1" t="str">
        <f>IF(ISBLANK(PriceData!AM53),"",PriceData!AM53)</f>
        <v/>
      </c>
      <c r="AN55" s="1" t="str">
        <f>IF(ISBLANK(PriceData!AN53),"",PriceData!AN53)</f>
        <v/>
      </c>
      <c r="AO55" s="1" t="str">
        <f>IF(ISBLANK(PriceData!AO53),"",PriceData!AO53)</f>
        <v/>
      </c>
      <c r="AP55" s="1" t="str">
        <f>IF(ISBLANK(PriceData!AP53),"",PriceData!AP53)</f>
        <v/>
      </c>
      <c r="AQ55" s="1" t="str">
        <f>IF(ISBLANK(PriceData!AQ53),"",PriceData!AQ53)</f>
        <v/>
      </c>
      <c r="AR55" s="1" t="str">
        <f>IF(ISBLANK(PriceData!AR53),"",PriceData!AR53)</f>
        <v/>
      </c>
      <c r="AS55" s="1" t="str">
        <f>IF(ISBLANK(PriceData!AS53),"",PriceData!AS53)</f>
        <v/>
      </c>
      <c r="AT55" s="1" t="str">
        <f>IF(ISBLANK(PriceData!AT53),"",PriceData!AT53)</f>
        <v/>
      </c>
      <c r="AU55" s="1" t="str">
        <f>IF(ISBLANK(PriceData!AU53),"",PriceData!AU53)</f>
        <v/>
      </c>
      <c r="AV55" s="1" t="str">
        <f>IF(ISBLANK(PriceData!AV53),"",PriceData!AV53)</f>
        <v/>
      </c>
      <c r="AW55" s="1" t="str">
        <f>IF(ISBLANK(PriceData!AW53),"",PriceData!AW53)</f>
        <v/>
      </c>
      <c r="AX55" s="1" t="str">
        <f>IF(ISBLANK(PriceData!AX53),"",PriceData!AX53)</f>
        <v/>
      </c>
      <c r="AY55" s="1" t="str">
        <f>IF(ISBLANK(PriceData!AY53),"",PriceData!AY53)</f>
        <v/>
      </c>
      <c r="AZ55" s="1" t="str">
        <f>IF(ISBLANK(PriceData!AZ53),"",PriceData!AZ53)</f>
        <v/>
      </c>
      <c r="BA55" s="1" t="str">
        <f>IF(ISBLANK(PriceData!BA53),"",PriceData!BA53)</f>
        <v/>
      </c>
      <c r="BB55" s="1" t="str">
        <f>IF(ISBLANK(PriceData!BB53),"",PriceData!BB53)</f>
        <v/>
      </c>
      <c r="BC55" s="1" t="str">
        <f>IF(ISBLANK(PriceData!BC53),"",PriceData!BC53)</f>
        <v/>
      </c>
      <c r="BD55" s="1" t="str">
        <f>IF(ISBLANK(PriceData!BD53),"",PriceData!BD53)</f>
        <v/>
      </c>
      <c r="BE55" s="1" t="str">
        <f>IF(ISBLANK(PriceData!BE53),"",PriceData!BE53)</f>
        <v/>
      </c>
      <c r="BF55" s="1" t="str">
        <f>IF(ISBLANK(PriceData!BF53),"",PriceData!BF53)</f>
        <v/>
      </c>
      <c r="BG55" s="1" t="str">
        <f>IF(ISBLANK(PriceData!BG53),"",PriceData!BG53)</f>
        <v/>
      </c>
      <c r="BH55" s="1" t="str">
        <f>IF(ISBLANK(PriceData!BH53),"",PriceData!BH53)</f>
        <v/>
      </c>
      <c r="BI55" s="1" t="str">
        <f>IF(ISBLANK(PriceData!BI53),"",PriceData!BI53)</f>
        <v/>
      </c>
      <c r="BJ55" s="1" t="str">
        <f>IF(ISBLANK(PriceData!BJ53),"",PriceData!BJ53)</f>
        <v/>
      </c>
      <c r="BK55" s="1" t="str">
        <f>IF(ISBLANK(PriceData!BK53),"",PriceData!BK53)</f>
        <v/>
      </c>
      <c r="BL55" s="1" t="str">
        <f>IF(ISBLANK(PriceData!BL53),"",PriceData!BL53)</f>
        <v/>
      </c>
      <c r="BM55" s="1" t="str">
        <f>IF(ISBLANK(PriceData!BM53),"",PriceData!BM53)</f>
        <v/>
      </c>
      <c r="BN55" s="1" t="str">
        <f>IF(ISBLANK(PriceData!BN53),"",PriceData!BN53)</f>
        <v/>
      </c>
      <c r="BO55" s="1" t="str">
        <f>IF(ISBLANK(PriceData!BO53),"",PriceData!BO53)</f>
        <v/>
      </c>
      <c r="BP55" s="1" t="str">
        <f>IF(ISBLANK(PriceData!BP53),"",PriceData!BP53)</f>
        <v/>
      </c>
      <c r="BQ55" s="1" t="str">
        <f>IF(ISBLANK(PriceData!BQ53),"",PriceData!BQ53)</f>
        <v/>
      </c>
      <c r="BR55" s="1" t="str">
        <f>IF(ISBLANK(PriceData!BR53),"",PriceData!BR53)</f>
        <v/>
      </c>
      <c r="BS55" s="1" t="str">
        <f>IF(ISBLANK(PriceData!BS53),"",PriceData!BS53)</f>
        <v/>
      </c>
      <c r="BT55" s="1" t="str">
        <f>IF(ISBLANK(PriceData!BT53),"",PriceData!BT53)</f>
        <v/>
      </c>
      <c r="BU55" s="1" t="str">
        <f>IF(ISBLANK(PriceData!BU53),"",PriceData!BU53)</f>
        <v/>
      </c>
      <c r="BV55" s="1" t="str">
        <f>IF(ISBLANK(PriceData!BV53),"",PriceData!BV53)</f>
        <v/>
      </c>
      <c r="BW55" s="1" t="str">
        <f>IF(ISBLANK(PriceData!BW53),"",PriceData!BW53)</f>
        <v/>
      </c>
      <c r="BX55" s="1" t="str">
        <f>IF(ISBLANK(PriceData!BX53),"",PriceData!BX53)</f>
        <v/>
      </c>
      <c r="BY55" s="1" t="str">
        <f>IF(ISBLANK(PriceData!BY53),"",PriceData!BY53)</f>
        <v/>
      </c>
      <c r="BZ55" s="1" t="str">
        <f>IF(ISBLANK(PriceData!BZ53),"",PriceData!BZ53)</f>
        <v/>
      </c>
      <c r="CA55" s="1" t="str">
        <f>IF(ISBLANK(PriceData!CA53),"",PriceData!CA53)</f>
        <v/>
      </c>
      <c r="CB55" s="1" t="str">
        <f>IF(ISBLANK(PriceData!CB53),"",PriceData!CB53)</f>
        <v/>
      </c>
      <c r="CC55" s="1" t="str">
        <f>IF(ISBLANK(PriceData!CC53),"",PriceData!CC53)</f>
        <v/>
      </c>
      <c r="CD55" s="1" t="str">
        <f>IF(ISBLANK(PriceData!CD53),"",PriceData!CD53)</f>
        <v/>
      </c>
      <c r="CE55" s="1" t="str">
        <f>IF(ISBLANK(PriceData!CE53),"",PriceData!CE53)</f>
        <v/>
      </c>
      <c r="CF55" s="1" t="str">
        <f>IF(ISBLANK(PriceData!CF53),"",PriceData!CF53)</f>
        <v/>
      </c>
      <c r="CG55" s="1" t="str">
        <f>IF(ISBLANK(PriceData!CG53),"",PriceData!CG53)</f>
        <v/>
      </c>
      <c r="CH55" s="1" t="str">
        <f>IF(ISBLANK(PriceData!CH53),"",PriceData!CH53)</f>
        <v/>
      </c>
      <c r="CI55" s="1" t="str">
        <f>IF(ISBLANK(PriceData!CI53),"",PriceData!CI53)</f>
        <v/>
      </c>
      <c r="CJ55" s="1" t="str">
        <f>IF(ISBLANK(PriceData!CJ53),"",PriceData!CJ53)</f>
        <v/>
      </c>
      <c r="CK55" s="1" t="str">
        <f>IF(ISBLANK(PriceData!CK53),"",PriceData!CK53)</f>
        <v/>
      </c>
      <c r="CL55" s="1" t="str">
        <f>IF(ISBLANK(PriceData!CL53),"",PriceData!CL53)</f>
        <v/>
      </c>
      <c r="CM55" s="1" t="str">
        <f>IF(ISBLANK(PriceData!CM53),"",PriceData!CM53)</f>
        <v/>
      </c>
      <c r="CN55" s="1" t="str">
        <f>IF(ISBLANK(PriceData!CN53),"",PriceData!CN53)</f>
        <v/>
      </c>
    </row>
    <row r="56" spans="2:92" x14ac:dyDescent="0.25">
      <c r="B56" s="1" t="str">
        <f>IF(ISBLANK(PriceData!A54),"",PriceData!A54)</f>
        <v/>
      </c>
      <c r="C56" s="1" t="str">
        <f>IF(ISBLANK(PriceData!C54),"",PriceData!C54)</f>
        <v/>
      </c>
      <c r="D56" s="1" t="str">
        <f>IF(ISBLANK(PriceData!D54),"",PriceData!D54)</f>
        <v/>
      </c>
      <c r="E56" s="1" t="str">
        <f>IF(ISBLANK(PriceData!E54),"",PriceData!E54)</f>
        <v/>
      </c>
      <c r="F56" s="1" t="str">
        <f>IF(ISBLANK(PriceData!F54),"",PriceData!F54)</f>
        <v/>
      </c>
      <c r="G56" s="1" t="str">
        <f>IF(ISBLANK(PriceData!G54),"",PriceData!G54)</f>
        <v/>
      </c>
      <c r="H56" s="1" t="str">
        <f>IF(ISBLANK(PriceData!H54),"",PriceData!H54)</f>
        <v/>
      </c>
      <c r="I56" s="1" t="str">
        <f>IF(ISBLANK(PriceData!I54),"",PriceData!I54)</f>
        <v/>
      </c>
      <c r="J56" s="1" t="str">
        <f>IF(ISBLANK(PriceData!J54),"",PriceData!J54)</f>
        <v/>
      </c>
      <c r="K56" s="1" t="str">
        <f>IF(ISBLANK(PriceData!K54),"",PriceData!K54)</f>
        <v/>
      </c>
      <c r="L56" s="1" t="str">
        <f>IF(ISBLANK(PriceData!L54),"",PriceData!L54)</f>
        <v/>
      </c>
      <c r="M56" s="1" t="str">
        <f>IF(ISBLANK(PriceData!M54),"",PriceData!M54)</f>
        <v/>
      </c>
      <c r="N56" s="1" t="str">
        <f>IF(ISBLANK(PriceData!N54),"",PriceData!N54)</f>
        <v/>
      </c>
      <c r="O56" s="1" t="str">
        <f>IF(ISBLANK(PriceData!O54),"",PriceData!O54)</f>
        <v/>
      </c>
      <c r="P56" s="1" t="str">
        <f>IF(ISBLANK(PriceData!P54),"",PriceData!P54)</f>
        <v/>
      </c>
      <c r="Q56" s="1" t="str">
        <f>IF(ISBLANK(PriceData!Q54),"",PriceData!Q54)</f>
        <v/>
      </c>
      <c r="R56" s="1" t="str">
        <f>IF(ISBLANK(PriceData!R54),"",PriceData!R54)</f>
        <v/>
      </c>
      <c r="S56" s="1" t="str">
        <f>IF(ISBLANK(PriceData!S54),"",PriceData!S54)</f>
        <v/>
      </c>
      <c r="T56" s="1" t="str">
        <f>IF(ISBLANK(PriceData!T54),"",PriceData!T54)</f>
        <v/>
      </c>
      <c r="U56" s="1" t="str">
        <f>IF(ISBLANK(PriceData!U54),"",PriceData!U54)</f>
        <v/>
      </c>
      <c r="V56" s="1" t="str">
        <f>IF(ISBLANK(PriceData!V54),"",PriceData!V54)</f>
        <v/>
      </c>
      <c r="W56" s="1" t="str">
        <f>IF(ISBLANK(PriceData!W54),"",PriceData!W54)</f>
        <v/>
      </c>
      <c r="X56" s="1" t="str">
        <f>IF(ISBLANK(PriceData!X54),"",PriceData!X54)</f>
        <v/>
      </c>
      <c r="Y56" s="1" t="str">
        <f>IF(ISBLANK(PriceData!Y54),"",PriceData!Y54)</f>
        <v/>
      </c>
      <c r="Z56" s="1" t="str">
        <f>IF(ISBLANK(PriceData!Z54),"",PriceData!Z54)</f>
        <v/>
      </c>
      <c r="AA56" s="1" t="str">
        <f>IF(ISBLANK(PriceData!AA54),"",PriceData!AA54)</f>
        <v/>
      </c>
      <c r="AB56" s="1" t="str">
        <f>IF(ISBLANK(PriceData!AB54),"",PriceData!AB54)</f>
        <v/>
      </c>
      <c r="AC56" s="1" t="str">
        <f>IF(ISBLANK(PriceData!AC54),"",PriceData!AC54)</f>
        <v/>
      </c>
      <c r="AD56" s="1" t="str">
        <f>IF(ISBLANK(PriceData!AD54),"",PriceData!AD54)</f>
        <v/>
      </c>
      <c r="AE56" s="1" t="str">
        <f>IF(ISBLANK(PriceData!AE54),"",PriceData!AE54)</f>
        <v/>
      </c>
      <c r="AF56" s="1" t="str">
        <f>IF(ISBLANK(PriceData!AF54),"",PriceData!AF54)</f>
        <v/>
      </c>
      <c r="AG56" s="1" t="str">
        <f>IF(ISBLANK(PriceData!AG54),"",PriceData!AG54)</f>
        <v/>
      </c>
      <c r="AH56" s="1" t="str">
        <f>IF(ISBLANK(PriceData!AH54),"",PriceData!AH54)</f>
        <v/>
      </c>
      <c r="AI56" s="1" t="str">
        <f>IF(ISBLANK(PriceData!AI54),"",PriceData!AI54)</f>
        <v/>
      </c>
      <c r="AJ56" s="1" t="str">
        <f>IF(ISBLANK(PriceData!AJ54),"",PriceData!AJ54)</f>
        <v/>
      </c>
      <c r="AK56" s="1" t="str">
        <f>IF(ISBLANK(PriceData!AK54),"",PriceData!AK54)</f>
        <v/>
      </c>
      <c r="AL56" s="1" t="str">
        <f>IF(ISBLANK(PriceData!AL54),"",PriceData!AL54)</f>
        <v/>
      </c>
      <c r="AM56" s="1" t="str">
        <f>IF(ISBLANK(PriceData!AM54),"",PriceData!AM54)</f>
        <v/>
      </c>
      <c r="AN56" s="1" t="str">
        <f>IF(ISBLANK(PriceData!AN54),"",PriceData!AN54)</f>
        <v/>
      </c>
      <c r="AO56" s="1" t="str">
        <f>IF(ISBLANK(PriceData!AO54),"",PriceData!AO54)</f>
        <v/>
      </c>
      <c r="AP56" s="1" t="str">
        <f>IF(ISBLANK(PriceData!AP54),"",PriceData!AP54)</f>
        <v/>
      </c>
      <c r="AQ56" s="1" t="str">
        <f>IF(ISBLANK(PriceData!AQ54),"",PriceData!AQ54)</f>
        <v/>
      </c>
      <c r="AR56" s="1" t="str">
        <f>IF(ISBLANK(PriceData!AR54),"",PriceData!AR54)</f>
        <v/>
      </c>
      <c r="AS56" s="1" t="str">
        <f>IF(ISBLANK(PriceData!AS54),"",PriceData!AS54)</f>
        <v/>
      </c>
      <c r="AT56" s="1" t="str">
        <f>IF(ISBLANK(PriceData!AT54),"",PriceData!AT54)</f>
        <v/>
      </c>
      <c r="AU56" s="1" t="str">
        <f>IF(ISBLANK(PriceData!AU54),"",PriceData!AU54)</f>
        <v/>
      </c>
      <c r="AV56" s="1" t="str">
        <f>IF(ISBLANK(PriceData!AV54),"",PriceData!AV54)</f>
        <v/>
      </c>
      <c r="AW56" s="1" t="str">
        <f>IF(ISBLANK(PriceData!AW54),"",PriceData!AW54)</f>
        <v/>
      </c>
      <c r="AX56" s="1" t="str">
        <f>IF(ISBLANK(PriceData!AX54),"",PriceData!AX54)</f>
        <v/>
      </c>
      <c r="AY56" s="1" t="str">
        <f>IF(ISBLANK(PriceData!AY54),"",PriceData!AY54)</f>
        <v/>
      </c>
      <c r="AZ56" s="1" t="str">
        <f>IF(ISBLANK(PriceData!AZ54),"",PriceData!AZ54)</f>
        <v/>
      </c>
      <c r="BA56" s="1" t="str">
        <f>IF(ISBLANK(PriceData!BA54),"",PriceData!BA54)</f>
        <v/>
      </c>
      <c r="BB56" s="1" t="str">
        <f>IF(ISBLANK(PriceData!BB54),"",PriceData!BB54)</f>
        <v/>
      </c>
      <c r="BC56" s="1" t="str">
        <f>IF(ISBLANK(PriceData!BC54),"",PriceData!BC54)</f>
        <v/>
      </c>
      <c r="BD56" s="1" t="str">
        <f>IF(ISBLANK(PriceData!BD54),"",PriceData!BD54)</f>
        <v/>
      </c>
      <c r="BE56" s="1" t="str">
        <f>IF(ISBLANK(PriceData!BE54),"",PriceData!BE54)</f>
        <v/>
      </c>
      <c r="BF56" s="1" t="str">
        <f>IF(ISBLANK(PriceData!BF54),"",PriceData!BF54)</f>
        <v/>
      </c>
      <c r="BG56" s="1" t="str">
        <f>IF(ISBLANK(PriceData!BG54),"",PriceData!BG54)</f>
        <v/>
      </c>
      <c r="BH56" s="1" t="str">
        <f>IF(ISBLANK(PriceData!BH54),"",PriceData!BH54)</f>
        <v/>
      </c>
      <c r="BI56" s="1" t="str">
        <f>IF(ISBLANK(PriceData!BI54),"",PriceData!BI54)</f>
        <v/>
      </c>
      <c r="BJ56" s="1" t="str">
        <f>IF(ISBLANK(PriceData!BJ54),"",PriceData!BJ54)</f>
        <v/>
      </c>
      <c r="BK56" s="1" t="str">
        <f>IF(ISBLANK(PriceData!BK54),"",PriceData!BK54)</f>
        <v/>
      </c>
      <c r="BL56" s="1" t="str">
        <f>IF(ISBLANK(PriceData!BL54),"",PriceData!BL54)</f>
        <v/>
      </c>
      <c r="BM56" s="1" t="str">
        <f>IF(ISBLANK(PriceData!BM54),"",PriceData!BM54)</f>
        <v/>
      </c>
      <c r="BN56" s="1" t="str">
        <f>IF(ISBLANK(PriceData!BN54),"",PriceData!BN54)</f>
        <v/>
      </c>
      <c r="BO56" s="1" t="str">
        <f>IF(ISBLANK(PriceData!BO54),"",PriceData!BO54)</f>
        <v/>
      </c>
      <c r="BP56" s="1" t="str">
        <f>IF(ISBLANK(PriceData!BP54),"",PriceData!BP54)</f>
        <v/>
      </c>
      <c r="BQ56" s="1" t="str">
        <f>IF(ISBLANK(PriceData!BQ54),"",PriceData!BQ54)</f>
        <v/>
      </c>
      <c r="BR56" s="1" t="str">
        <f>IF(ISBLANK(PriceData!BR54),"",PriceData!BR54)</f>
        <v/>
      </c>
      <c r="BS56" s="1" t="str">
        <f>IF(ISBLANK(PriceData!BS54),"",PriceData!BS54)</f>
        <v/>
      </c>
      <c r="BT56" s="1" t="str">
        <f>IF(ISBLANK(PriceData!BT54),"",PriceData!BT54)</f>
        <v/>
      </c>
      <c r="BU56" s="1" t="str">
        <f>IF(ISBLANK(PriceData!BU54),"",PriceData!BU54)</f>
        <v/>
      </c>
      <c r="BV56" s="1" t="str">
        <f>IF(ISBLANK(PriceData!BV54),"",PriceData!BV54)</f>
        <v/>
      </c>
      <c r="BW56" s="1" t="str">
        <f>IF(ISBLANK(PriceData!BW54),"",PriceData!BW54)</f>
        <v/>
      </c>
      <c r="BX56" s="1" t="str">
        <f>IF(ISBLANK(PriceData!BX54),"",PriceData!BX54)</f>
        <v/>
      </c>
      <c r="BY56" s="1" t="str">
        <f>IF(ISBLANK(PriceData!BY54),"",PriceData!BY54)</f>
        <v/>
      </c>
      <c r="BZ56" s="1" t="str">
        <f>IF(ISBLANK(PriceData!BZ54),"",PriceData!BZ54)</f>
        <v/>
      </c>
      <c r="CA56" s="1" t="str">
        <f>IF(ISBLANK(PriceData!CA54),"",PriceData!CA54)</f>
        <v/>
      </c>
      <c r="CB56" s="1" t="str">
        <f>IF(ISBLANK(PriceData!CB54),"",PriceData!CB54)</f>
        <v/>
      </c>
      <c r="CC56" s="1" t="str">
        <f>IF(ISBLANK(PriceData!CC54),"",PriceData!CC54)</f>
        <v/>
      </c>
      <c r="CD56" s="1" t="str">
        <f>IF(ISBLANK(PriceData!CD54),"",PriceData!CD54)</f>
        <v/>
      </c>
      <c r="CE56" s="1" t="str">
        <f>IF(ISBLANK(PriceData!CE54),"",PriceData!CE54)</f>
        <v/>
      </c>
      <c r="CF56" s="1" t="str">
        <f>IF(ISBLANK(PriceData!CF54),"",PriceData!CF54)</f>
        <v/>
      </c>
      <c r="CG56" s="1" t="str">
        <f>IF(ISBLANK(PriceData!CG54),"",PriceData!CG54)</f>
        <v/>
      </c>
      <c r="CH56" s="1" t="str">
        <f>IF(ISBLANK(PriceData!CH54),"",PriceData!CH54)</f>
        <v/>
      </c>
      <c r="CI56" s="1" t="str">
        <f>IF(ISBLANK(PriceData!CI54),"",PriceData!CI54)</f>
        <v/>
      </c>
      <c r="CJ56" s="1" t="str">
        <f>IF(ISBLANK(PriceData!CJ54),"",PriceData!CJ54)</f>
        <v/>
      </c>
      <c r="CK56" s="1" t="str">
        <f>IF(ISBLANK(PriceData!CK54),"",PriceData!CK54)</f>
        <v/>
      </c>
      <c r="CL56" s="1" t="str">
        <f>IF(ISBLANK(PriceData!CL54),"",PriceData!CL54)</f>
        <v/>
      </c>
      <c r="CM56" s="1" t="str">
        <f>IF(ISBLANK(PriceData!CM54),"",PriceData!CM54)</f>
        <v/>
      </c>
      <c r="CN56" s="1" t="str">
        <f>IF(ISBLANK(PriceData!CN54),"",PriceData!CN54)</f>
        <v/>
      </c>
    </row>
    <row r="57" spans="2:92" x14ac:dyDescent="0.25">
      <c r="B57" s="1" t="str">
        <f>IF(ISBLANK(PriceData!A55),"",PriceData!A55)</f>
        <v/>
      </c>
      <c r="C57" s="1" t="str">
        <f>IF(ISBLANK(PriceData!C55),"",PriceData!C55)</f>
        <v/>
      </c>
      <c r="D57" s="1" t="str">
        <f>IF(ISBLANK(PriceData!D55),"",PriceData!D55)</f>
        <v/>
      </c>
      <c r="E57" s="1" t="str">
        <f>IF(ISBLANK(PriceData!E55),"",PriceData!E55)</f>
        <v/>
      </c>
      <c r="F57" s="1" t="str">
        <f>IF(ISBLANK(PriceData!F55),"",PriceData!F55)</f>
        <v/>
      </c>
      <c r="G57" s="1" t="str">
        <f>IF(ISBLANK(PriceData!G55),"",PriceData!G55)</f>
        <v/>
      </c>
      <c r="H57" s="1" t="str">
        <f>IF(ISBLANK(PriceData!H55),"",PriceData!H55)</f>
        <v/>
      </c>
      <c r="I57" s="1" t="str">
        <f>IF(ISBLANK(PriceData!I55),"",PriceData!I55)</f>
        <v/>
      </c>
      <c r="J57" s="1" t="str">
        <f>IF(ISBLANK(PriceData!J55),"",PriceData!J55)</f>
        <v/>
      </c>
      <c r="K57" s="1" t="str">
        <f>IF(ISBLANK(PriceData!K55),"",PriceData!K55)</f>
        <v/>
      </c>
      <c r="L57" s="1" t="str">
        <f>IF(ISBLANK(PriceData!L55),"",PriceData!L55)</f>
        <v/>
      </c>
      <c r="M57" s="1" t="str">
        <f>IF(ISBLANK(PriceData!M55),"",PriceData!M55)</f>
        <v/>
      </c>
      <c r="N57" s="1" t="str">
        <f>IF(ISBLANK(PriceData!N55),"",PriceData!N55)</f>
        <v/>
      </c>
      <c r="O57" s="1" t="str">
        <f>IF(ISBLANK(PriceData!O55),"",PriceData!O55)</f>
        <v/>
      </c>
      <c r="P57" s="1" t="str">
        <f>IF(ISBLANK(PriceData!P55),"",PriceData!P55)</f>
        <v/>
      </c>
      <c r="Q57" s="1" t="str">
        <f>IF(ISBLANK(PriceData!Q55),"",PriceData!Q55)</f>
        <v/>
      </c>
      <c r="R57" s="1" t="str">
        <f>IF(ISBLANK(PriceData!R55),"",PriceData!R55)</f>
        <v/>
      </c>
      <c r="S57" s="1" t="str">
        <f>IF(ISBLANK(PriceData!S55),"",PriceData!S55)</f>
        <v/>
      </c>
      <c r="T57" s="1" t="str">
        <f>IF(ISBLANK(PriceData!T55),"",PriceData!T55)</f>
        <v/>
      </c>
      <c r="U57" s="1" t="str">
        <f>IF(ISBLANK(PriceData!U55),"",PriceData!U55)</f>
        <v/>
      </c>
      <c r="V57" s="1" t="str">
        <f>IF(ISBLANK(PriceData!V55),"",PriceData!V55)</f>
        <v/>
      </c>
      <c r="W57" s="1" t="str">
        <f>IF(ISBLANK(PriceData!W55),"",PriceData!W55)</f>
        <v/>
      </c>
      <c r="X57" s="1" t="str">
        <f>IF(ISBLANK(PriceData!X55),"",PriceData!X55)</f>
        <v/>
      </c>
      <c r="Y57" s="1" t="str">
        <f>IF(ISBLANK(PriceData!Y55),"",PriceData!Y55)</f>
        <v/>
      </c>
      <c r="Z57" s="1" t="str">
        <f>IF(ISBLANK(PriceData!Z55),"",PriceData!Z55)</f>
        <v/>
      </c>
      <c r="AA57" s="1" t="str">
        <f>IF(ISBLANK(PriceData!AA55),"",PriceData!AA55)</f>
        <v/>
      </c>
      <c r="AB57" s="1" t="str">
        <f>IF(ISBLANK(PriceData!AB55),"",PriceData!AB55)</f>
        <v/>
      </c>
      <c r="AC57" s="1" t="str">
        <f>IF(ISBLANK(PriceData!AC55),"",PriceData!AC55)</f>
        <v/>
      </c>
      <c r="AD57" s="1" t="str">
        <f>IF(ISBLANK(PriceData!AD55),"",PriceData!AD55)</f>
        <v/>
      </c>
      <c r="AE57" s="1" t="str">
        <f>IF(ISBLANK(PriceData!AE55),"",PriceData!AE55)</f>
        <v/>
      </c>
      <c r="AF57" s="1" t="str">
        <f>IF(ISBLANK(PriceData!AF55),"",PriceData!AF55)</f>
        <v/>
      </c>
      <c r="AG57" s="1" t="str">
        <f>IF(ISBLANK(PriceData!AG55),"",PriceData!AG55)</f>
        <v/>
      </c>
      <c r="AH57" s="1" t="str">
        <f>IF(ISBLANK(PriceData!AH55),"",PriceData!AH55)</f>
        <v/>
      </c>
      <c r="AI57" s="1" t="str">
        <f>IF(ISBLANK(PriceData!AI55),"",PriceData!AI55)</f>
        <v/>
      </c>
      <c r="AJ57" s="1" t="str">
        <f>IF(ISBLANK(PriceData!AJ55),"",PriceData!AJ55)</f>
        <v/>
      </c>
      <c r="AK57" s="1" t="str">
        <f>IF(ISBLANK(PriceData!AK55),"",PriceData!AK55)</f>
        <v/>
      </c>
      <c r="AL57" s="1" t="str">
        <f>IF(ISBLANK(PriceData!AL55),"",PriceData!AL55)</f>
        <v/>
      </c>
      <c r="AM57" s="1" t="str">
        <f>IF(ISBLANK(PriceData!AM55),"",PriceData!AM55)</f>
        <v/>
      </c>
      <c r="AN57" s="1" t="str">
        <f>IF(ISBLANK(PriceData!AN55),"",PriceData!AN55)</f>
        <v/>
      </c>
      <c r="AO57" s="1" t="str">
        <f>IF(ISBLANK(PriceData!AO55),"",PriceData!AO55)</f>
        <v/>
      </c>
      <c r="AP57" s="1" t="str">
        <f>IF(ISBLANK(PriceData!AP55),"",PriceData!AP55)</f>
        <v/>
      </c>
      <c r="AQ57" s="1" t="str">
        <f>IF(ISBLANK(PriceData!AQ55),"",PriceData!AQ55)</f>
        <v/>
      </c>
      <c r="AR57" s="1" t="str">
        <f>IF(ISBLANK(PriceData!AR55),"",PriceData!AR55)</f>
        <v/>
      </c>
      <c r="AS57" s="1" t="str">
        <f>IF(ISBLANK(PriceData!AS55),"",PriceData!AS55)</f>
        <v/>
      </c>
      <c r="AT57" s="1" t="str">
        <f>IF(ISBLANK(PriceData!AT55),"",PriceData!AT55)</f>
        <v/>
      </c>
      <c r="AU57" s="1" t="str">
        <f>IF(ISBLANK(PriceData!AU55),"",PriceData!AU55)</f>
        <v/>
      </c>
      <c r="AV57" s="1" t="str">
        <f>IF(ISBLANK(PriceData!AV55),"",PriceData!AV55)</f>
        <v/>
      </c>
      <c r="AW57" s="1" t="str">
        <f>IF(ISBLANK(PriceData!AW55),"",PriceData!AW55)</f>
        <v/>
      </c>
      <c r="AX57" s="1" t="str">
        <f>IF(ISBLANK(PriceData!AX55),"",PriceData!AX55)</f>
        <v/>
      </c>
      <c r="AY57" s="1" t="str">
        <f>IF(ISBLANK(PriceData!AY55),"",PriceData!AY55)</f>
        <v/>
      </c>
      <c r="AZ57" s="1" t="str">
        <f>IF(ISBLANK(PriceData!AZ55),"",PriceData!AZ55)</f>
        <v/>
      </c>
      <c r="BA57" s="1" t="str">
        <f>IF(ISBLANK(PriceData!BA55),"",PriceData!BA55)</f>
        <v/>
      </c>
      <c r="BB57" s="1" t="str">
        <f>IF(ISBLANK(PriceData!BB55),"",PriceData!BB55)</f>
        <v/>
      </c>
      <c r="BC57" s="1" t="str">
        <f>IF(ISBLANK(PriceData!BC55),"",PriceData!BC55)</f>
        <v/>
      </c>
      <c r="BD57" s="1" t="str">
        <f>IF(ISBLANK(PriceData!BD55),"",PriceData!BD55)</f>
        <v/>
      </c>
      <c r="BE57" s="1" t="str">
        <f>IF(ISBLANK(PriceData!BE55),"",PriceData!BE55)</f>
        <v/>
      </c>
      <c r="BF57" s="1" t="str">
        <f>IF(ISBLANK(PriceData!BF55),"",PriceData!BF55)</f>
        <v/>
      </c>
      <c r="BG57" s="1" t="str">
        <f>IF(ISBLANK(PriceData!BG55),"",PriceData!BG55)</f>
        <v/>
      </c>
      <c r="BH57" s="1" t="str">
        <f>IF(ISBLANK(PriceData!BH55),"",PriceData!BH55)</f>
        <v/>
      </c>
      <c r="BI57" s="1" t="str">
        <f>IF(ISBLANK(PriceData!BI55),"",PriceData!BI55)</f>
        <v/>
      </c>
      <c r="BJ57" s="1" t="str">
        <f>IF(ISBLANK(PriceData!BJ55),"",PriceData!BJ55)</f>
        <v/>
      </c>
      <c r="BK57" s="1" t="str">
        <f>IF(ISBLANK(PriceData!BK55),"",PriceData!BK55)</f>
        <v/>
      </c>
      <c r="BL57" s="1" t="str">
        <f>IF(ISBLANK(PriceData!BL55),"",PriceData!BL55)</f>
        <v/>
      </c>
      <c r="BM57" s="1" t="str">
        <f>IF(ISBLANK(PriceData!BM55),"",PriceData!BM55)</f>
        <v/>
      </c>
      <c r="BN57" s="1" t="str">
        <f>IF(ISBLANK(PriceData!BN55),"",PriceData!BN55)</f>
        <v/>
      </c>
      <c r="BO57" s="1" t="str">
        <f>IF(ISBLANK(PriceData!BO55),"",PriceData!BO55)</f>
        <v/>
      </c>
      <c r="BP57" s="1" t="str">
        <f>IF(ISBLANK(PriceData!BP55),"",PriceData!BP55)</f>
        <v/>
      </c>
      <c r="BQ57" s="1" t="str">
        <f>IF(ISBLANK(PriceData!BQ55),"",PriceData!BQ55)</f>
        <v/>
      </c>
      <c r="BR57" s="1" t="str">
        <f>IF(ISBLANK(PriceData!BR55),"",PriceData!BR55)</f>
        <v/>
      </c>
      <c r="BS57" s="1" t="str">
        <f>IF(ISBLANK(PriceData!BS55),"",PriceData!BS55)</f>
        <v/>
      </c>
      <c r="BT57" s="1" t="str">
        <f>IF(ISBLANK(PriceData!BT55),"",PriceData!BT55)</f>
        <v/>
      </c>
      <c r="BU57" s="1" t="str">
        <f>IF(ISBLANK(PriceData!BU55),"",PriceData!BU55)</f>
        <v/>
      </c>
      <c r="BV57" s="1" t="str">
        <f>IF(ISBLANK(PriceData!BV55),"",PriceData!BV55)</f>
        <v/>
      </c>
      <c r="BW57" s="1" t="str">
        <f>IF(ISBLANK(PriceData!BW55),"",PriceData!BW55)</f>
        <v/>
      </c>
      <c r="BX57" s="1" t="str">
        <f>IF(ISBLANK(PriceData!BX55),"",PriceData!BX55)</f>
        <v/>
      </c>
      <c r="BY57" s="1" t="str">
        <f>IF(ISBLANK(PriceData!BY55),"",PriceData!BY55)</f>
        <v/>
      </c>
      <c r="BZ57" s="1" t="str">
        <f>IF(ISBLANK(PriceData!BZ55),"",PriceData!BZ55)</f>
        <v/>
      </c>
      <c r="CA57" s="1" t="str">
        <f>IF(ISBLANK(PriceData!CA55),"",PriceData!CA55)</f>
        <v/>
      </c>
      <c r="CB57" s="1" t="str">
        <f>IF(ISBLANK(PriceData!CB55),"",PriceData!CB55)</f>
        <v/>
      </c>
      <c r="CC57" s="1" t="str">
        <f>IF(ISBLANK(PriceData!CC55),"",PriceData!CC55)</f>
        <v/>
      </c>
      <c r="CD57" s="1" t="str">
        <f>IF(ISBLANK(PriceData!CD55),"",PriceData!CD55)</f>
        <v/>
      </c>
      <c r="CE57" s="1" t="str">
        <f>IF(ISBLANK(PriceData!CE55),"",PriceData!CE55)</f>
        <v/>
      </c>
      <c r="CF57" s="1" t="str">
        <f>IF(ISBLANK(PriceData!CF55),"",PriceData!CF55)</f>
        <v/>
      </c>
      <c r="CG57" s="1" t="str">
        <f>IF(ISBLANK(PriceData!CG55),"",PriceData!CG55)</f>
        <v/>
      </c>
      <c r="CH57" s="1" t="str">
        <f>IF(ISBLANK(PriceData!CH55),"",PriceData!CH55)</f>
        <v/>
      </c>
      <c r="CI57" s="1" t="str">
        <f>IF(ISBLANK(PriceData!CI55),"",PriceData!CI55)</f>
        <v/>
      </c>
      <c r="CJ57" s="1" t="str">
        <f>IF(ISBLANK(PriceData!CJ55),"",PriceData!CJ55)</f>
        <v/>
      </c>
      <c r="CK57" s="1" t="str">
        <f>IF(ISBLANK(PriceData!CK55),"",PriceData!CK55)</f>
        <v/>
      </c>
      <c r="CL57" s="1" t="str">
        <f>IF(ISBLANK(PriceData!CL55),"",PriceData!CL55)</f>
        <v/>
      </c>
      <c r="CM57" s="1" t="str">
        <f>IF(ISBLANK(PriceData!CM55),"",PriceData!CM55)</f>
        <v/>
      </c>
      <c r="CN57" s="1" t="str">
        <f>IF(ISBLANK(PriceData!CN55),"",PriceData!CN55)</f>
        <v/>
      </c>
    </row>
    <row r="58" spans="2:92" x14ac:dyDescent="0.25">
      <c r="B58" s="1" t="str">
        <f>IF(ISBLANK(PriceData!A56),"",PriceData!A56)</f>
        <v/>
      </c>
      <c r="C58" s="1" t="str">
        <f>IF(ISBLANK(PriceData!C56),"",PriceData!C56)</f>
        <v/>
      </c>
      <c r="D58" s="1" t="str">
        <f>IF(ISBLANK(PriceData!D56),"",PriceData!D56)</f>
        <v/>
      </c>
      <c r="E58" s="1" t="str">
        <f>IF(ISBLANK(PriceData!E56),"",PriceData!E56)</f>
        <v/>
      </c>
      <c r="F58" s="1" t="str">
        <f>IF(ISBLANK(PriceData!F56),"",PriceData!F56)</f>
        <v/>
      </c>
      <c r="G58" s="1" t="str">
        <f>IF(ISBLANK(PriceData!G56),"",PriceData!G56)</f>
        <v/>
      </c>
      <c r="H58" s="1" t="str">
        <f>IF(ISBLANK(PriceData!H56),"",PriceData!H56)</f>
        <v/>
      </c>
      <c r="I58" s="1" t="str">
        <f>IF(ISBLANK(PriceData!I56),"",PriceData!I56)</f>
        <v/>
      </c>
      <c r="J58" s="1" t="str">
        <f>IF(ISBLANK(PriceData!J56),"",PriceData!J56)</f>
        <v/>
      </c>
      <c r="K58" s="1" t="str">
        <f>IF(ISBLANK(PriceData!K56),"",PriceData!K56)</f>
        <v/>
      </c>
      <c r="L58" s="1" t="str">
        <f>IF(ISBLANK(PriceData!L56),"",PriceData!L56)</f>
        <v/>
      </c>
      <c r="M58" s="1" t="str">
        <f>IF(ISBLANK(PriceData!M56),"",PriceData!M56)</f>
        <v/>
      </c>
      <c r="N58" s="1" t="str">
        <f>IF(ISBLANK(PriceData!N56),"",PriceData!N56)</f>
        <v/>
      </c>
      <c r="O58" s="1" t="str">
        <f>IF(ISBLANK(PriceData!O56),"",PriceData!O56)</f>
        <v/>
      </c>
      <c r="P58" s="1" t="str">
        <f>IF(ISBLANK(PriceData!P56),"",PriceData!P56)</f>
        <v/>
      </c>
      <c r="Q58" s="1" t="str">
        <f>IF(ISBLANK(PriceData!Q56),"",PriceData!Q56)</f>
        <v/>
      </c>
      <c r="R58" s="1" t="str">
        <f>IF(ISBLANK(PriceData!R56),"",PriceData!R56)</f>
        <v/>
      </c>
      <c r="S58" s="1" t="str">
        <f>IF(ISBLANK(PriceData!S56),"",PriceData!S56)</f>
        <v/>
      </c>
      <c r="T58" s="1" t="str">
        <f>IF(ISBLANK(PriceData!T56),"",PriceData!T56)</f>
        <v/>
      </c>
      <c r="U58" s="1" t="str">
        <f>IF(ISBLANK(PriceData!U56),"",PriceData!U56)</f>
        <v/>
      </c>
      <c r="V58" s="1" t="str">
        <f>IF(ISBLANK(PriceData!V56),"",PriceData!V56)</f>
        <v/>
      </c>
      <c r="W58" s="1" t="str">
        <f>IF(ISBLANK(PriceData!W56),"",PriceData!W56)</f>
        <v/>
      </c>
      <c r="X58" s="1" t="str">
        <f>IF(ISBLANK(PriceData!X56),"",PriceData!X56)</f>
        <v/>
      </c>
      <c r="Y58" s="1" t="str">
        <f>IF(ISBLANK(PriceData!Y56),"",PriceData!Y56)</f>
        <v/>
      </c>
      <c r="Z58" s="1" t="str">
        <f>IF(ISBLANK(PriceData!Z56),"",PriceData!Z56)</f>
        <v/>
      </c>
      <c r="AA58" s="1" t="str">
        <f>IF(ISBLANK(PriceData!AA56),"",PriceData!AA56)</f>
        <v/>
      </c>
      <c r="AB58" s="1" t="str">
        <f>IF(ISBLANK(PriceData!AB56),"",PriceData!AB56)</f>
        <v/>
      </c>
      <c r="AC58" s="1" t="str">
        <f>IF(ISBLANK(PriceData!AC56),"",PriceData!AC56)</f>
        <v/>
      </c>
      <c r="AD58" s="1" t="str">
        <f>IF(ISBLANK(PriceData!AD56),"",PriceData!AD56)</f>
        <v/>
      </c>
      <c r="AE58" s="1" t="str">
        <f>IF(ISBLANK(PriceData!AE56),"",PriceData!AE56)</f>
        <v/>
      </c>
      <c r="AF58" s="1" t="str">
        <f>IF(ISBLANK(PriceData!AF56),"",PriceData!AF56)</f>
        <v/>
      </c>
      <c r="AG58" s="1" t="str">
        <f>IF(ISBLANK(PriceData!AG56),"",PriceData!AG56)</f>
        <v/>
      </c>
      <c r="AH58" s="1" t="str">
        <f>IF(ISBLANK(PriceData!AH56),"",PriceData!AH56)</f>
        <v/>
      </c>
      <c r="AI58" s="1" t="str">
        <f>IF(ISBLANK(PriceData!AI56),"",PriceData!AI56)</f>
        <v/>
      </c>
      <c r="AJ58" s="1" t="str">
        <f>IF(ISBLANK(PriceData!AJ56),"",PriceData!AJ56)</f>
        <v/>
      </c>
      <c r="AK58" s="1" t="str">
        <f>IF(ISBLANK(PriceData!AK56),"",PriceData!AK56)</f>
        <v/>
      </c>
      <c r="AL58" s="1" t="str">
        <f>IF(ISBLANK(PriceData!AL56),"",PriceData!AL56)</f>
        <v/>
      </c>
      <c r="AM58" s="1" t="str">
        <f>IF(ISBLANK(PriceData!AM56),"",PriceData!AM56)</f>
        <v/>
      </c>
      <c r="AN58" s="1" t="str">
        <f>IF(ISBLANK(PriceData!AN56),"",PriceData!AN56)</f>
        <v/>
      </c>
      <c r="AO58" s="1" t="str">
        <f>IF(ISBLANK(PriceData!AO56),"",PriceData!AO56)</f>
        <v/>
      </c>
      <c r="AP58" s="1" t="str">
        <f>IF(ISBLANK(PriceData!AP56),"",PriceData!AP56)</f>
        <v/>
      </c>
      <c r="AQ58" s="1" t="str">
        <f>IF(ISBLANK(PriceData!AQ56),"",PriceData!AQ56)</f>
        <v/>
      </c>
      <c r="AR58" s="1" t="str">
        <f>IF(ISBLANK(PriceData!AR56),"",PriceData!AR56)</f>
        <v/>
      </c>
      <c r="AS58" s="1" t="str">
        <f>IF(ISBLANK(PriceData!AS56),"",PriceData!AS56)</f>
        <v/>
      </c>
      <c r="AT58" s="1" t="str">
        <f>IF(ISBLANK(PriceData!AT56),"",PriceData!AT56)</f>
        <v/>
      </c>
      <c r="AU58" s="1" t="str">
        <f>IF(ISBLANK(PriceData!AU56),"",PriceData!AU56)</f>
        <v/>
      </c>
      <c r="AV58" s="1" t="str">
        <f>IF(ISBLANK(PriceData!AV56),"",PriceData!AV56)</f>
        <v/>
      </c>
      <c r="AW58" s="1" t="str">
        <f>IF(ISBLANK(PriceData!AW56),"",PriceData!AW56)</f>
        <v/>
      </c>
      <c r="AX58" s="1" t="str">
        <f>IF(ISBLANK(PriceData!AX56),"",PriceData!AX56)</f>
        <v/>
      </c>
      <c r="AY58" s="1" t="str">
        <f>IF(ISBLANK(PriceData!AY56),"",PriceData!AY56)</f>
        <v/>
      </c>
      <c r="AZ58" s="1" t="str">
        <f>IF(ISBLANK(PriceData!AZ56),"",PriceData!AZ56)</f>
        <v/>
      </c>
      <c r="BA58" s="1" t="str">
        <f>IF(ISBLANK(PriceData!BA56),"",PriceData!BA56)</f>
        <v/>
      </c>
      <c r="BB58" s="1" t="str">
        <f>IF(ISBLANK(PriceData!BB56),"",PriceData!BB56)</f>
        <v/>
      </c>
      <c r="BC58" s="1" t="str">
        <f>IF(ISBLANK(PriceData!BC56),"",PriceData!BC56)</f>
        <v/>
      </c>
      <c r="BD58" s="1" t="str">
        <f>IF(ISBLANK(PriceData!BD56),"",PriceData!BD56)</f>
        <v/>
      </c>
      <c r="BE58" s="1" t="str">
        <f>IF(ISBLANK(PriceData!BE56),"",PriceData!BE56)</f>
        <v/>
      </c>
      <c r="BF58" s="1" t="str">
        <f>IF(ISBLANK(PriceData!BF56),"",PriceData!BF56)</f>
        <v/>
      </c>
      <c r="BG58" s="1" t="str">
        <f>IF(ISBLANK(PriceData!BG56),"",PriceData!BG56)</f>
        <v/>
      </c>
      <c r="BH58" s="1" t="str">
        <f>IF(ISBLANK(PriceData!BH56),"",PriceData!BH56)</f>
        <v/>
      </c>
      <c r="BI58" s="1" t="str">
        <f>IF(ISBLANK(PriceData!BI56),"",PriceData!BI56)</f>
        <v/>
      </c>
      <c r="BJ58" s="1" t="str">
        <f>IF(ISBLANK(PriceData!BJ56),"",PriceData!BJ56)</f>
        <v/>
      </c>
      <c r="BK58" s="1" t="str">
        <f>IF(ISBLANK(PriceData!BK56),"",PriceData!BK56)</f>
        <v/>
      </c>
      <c r="BL58" s="1" t="str">
        <f>IF(ISBLANK(PriceData!BL56),"",PriceData!BL56)</f>
        <v/>
      </c>
      <c r="BM58" s="1" t="str">
        <f>IF(ISBLANK(PriceData!BM56),"",PriceData!BM56)</f>
        <v/>
      </c>
      <c r="BN58" s="1" t="str">
        <f>IF(ISBLANK(PriceData!BN56),"",PriceData!BN56)</f>
        <v/>
      </c>
      <c r="BO58" s="1" t="str">
        <f>IF(ISBLANK(PriceData!BO56),"",PriceData!BO56)</f>
        <v/>
      </c>
      <c r="BP58" s="1" t="str">
        <f>IF(ISBLANK(PriceData!BP56),"",PriceData!BP56)</f>
        <v/>
      </c>
      <c r="BQ58" s="1" t="str">
        <f>IF(ISBLANK(PriceData!BQ56),"",PriceData!BQ56)</f>
        <v/>
      </c>
      <c r="BR58" s="1" t="str">
        <f>IF(ISBLANK(PriceData!BR56),"",PriceData!BR56)</f>
        <v/>
      </c>
      <c r="BS58" s="1" t="str">
        <f>IF(ISBLANK(PriceData!BS56),"",PriceData!BS56)</f>
        <v/>
      </c>
      <c r="BT58" s="1" t="str">
        <f>IF(ISBLANK(PriceData!BT56),"",PriceData!BT56)</f>
        <v/>
      </c>
      <c r="BU58" s="1" t="str">
        <f>IF(ISBLANK(PriceData!BU56),"",PriceData!BU56)</f>
        <v/>
      </c>
      <c r="BV58" s="1" t="str">
        <f>IF(ISBLANK(PriceData!BV56),"",PriceData!BV56)</f>
        <v/>
      </c>
      <c r="BW58" s="1" t="str">
        <f>IF(ISBLANK(PriceData!BW56),"",PriceData!BW56)</f>
        <v/>
      </c>
      <c r="BX58" s="1" t="str">
        <f>IF(ISBLANK(PriceData!BX56),"",PriceData!BX56)</f>
        <v/>
      </c>
      <c r="BY58" s="1" t="str">
        <f>IF(ISBLANK(PriceData!BY56),"",PriceData!BY56)</f>
        <v/>
      </c>
      <c r="BZ58" s="1" t="str">
        <f>IF(ISBLANK(PriceData!BZ56),"",PriceData!BZ56)</f>
        <v/>
      </c>
      <c r="CA58" s="1" t="str">
        <f>IF(ISBLANK(PriceData!CA56),"",PriceData!CA56)</f>
        <v/>
      </c>
      <c r="CB58" s="1" t="str">
        <f>IF(ISBLANK(PriceData!CB56),"",PriceData!CB56)</f>
        <v/>
      </c>
      <c r="CC58" s="1" t="str">
        <f>IF(ISBLANK(PriceData!CC56),"",PriceData!CC56)</f>
        <v/>
      </c>
      <c r="CD58" s="1" t="str">
        <f>IF(ISBLANK(PriceData!CD56),"",PriceData!CD56)</f>
        <v/>
      </c>
      <c r="CE58" s="1" t="str">
        <f>IF(ISBLANK(PriceData!CE56),"",PriceData!CE56)</f>
        <v/>
      </c>
      <c r="CF58" s="1" t="str">
        <f>IF(ISBLANK(PriceData!CF56),"",PriceData!CF56)</f>
        <v/>
      </c>
      <c r="CG58" s="1" t="str">
        <f>IF(ISBLANK(PriceData!CG56),"",PriceData!CG56)</f>
        <v/>
      </c>
      <c r="CH58" s="1" t="str">
        <f>IF(ISBLANK(PriceData!CH56),"",PriceData!CH56)</f>
        <v/>
      </c>
      <c r="CI58" s="1" t="str">
        <f>IF(ISBLANK(PriceData!CI56),"",PriceData!CI56)</f>
        <v/>
      </c>
      <c r="CJ58" s="1" t="str">
        <f>IF(ISBLANK(PriceData!CJ56),"",PriceData!CJ56)</f>
        <v/>
      </c>
      <c r="CK58" s="1" t="str">
        <f>IF(ISBLANK(PriceData!CK56),"",PriceData!CK56)</f>
        <v/>
      </c>
      <c r="CL58" s="1" t="str">
        <f>IF(ISBLANK(PriceData!CL56),"",PriceData!CL56)</f>
        <v/>
      </c>
      <c r="CM58" s="1" t="str">
        <f>IF(ISBLANK(PriceData!CM56),"",PriceData!CM56)</f>
        <v/>
      </c>
      <c r="CN58" s="1" t="str">
        <f>IF(ISBLANK(PriceData!CN56),"",PriceData!CN56)</f>
        <v/>
      </c>
    </row>
    <row r="59" spans="2:92" x14ac:dyDescent="0.25">
      <c r="B59" s="1" t="str">
        <f>IF(ISBLANK(PriceData!A57),"",PriceData!A57)</f>
        <v/>
      </c>
      <c r="C59" s="1" t="str">
        <f>IF(ISBLANK(PriceData!C57),"",PriceData!C57)</f>
        <v/>
      </c>
      <c r="D59" s="1" t="str">
        <f>IF(ISBLANK(PriceData!D57),"",PriceData!D57)</f>
        <v/>
      </c>
      <c r="E59" s="1" t="str">
        <f>IF(ISBLANK(PriceData!E57),"",PriceData!E57)</f>
        <v/>
      </c>
      <c r="F59" s="1" t="str">
        <f>IF(ISBLANK(PriceData!F57),"",PriceData!F57)</f>
        <v/>
      </c>
      <c r="G59" s="1" t="str">
        <f>IF(ISBLANK(PriceData!G57),"",PriceData!G57)</f>
        <v/>
      </c>
      <c r="H59" s="1" t="str">
        <f>IF(ISBLANK(PriceData!H57),"",PriceData!H57)</f>
        <v/>
      </c>
      <c r="I59" s="1" t="str">
        <f>IF(ISBLANK(PriceData!I57),"",PriceData!I57)</f>
        <v/>
      </c>
      <c r="J59" s="1" t="str">
        <f>IF(ISBLANK(PriceData!J57),"",PriceData!J57)</f>
        <v/>
      </c>
      <c r="K59" s="1" t="str">
        <f>IF(ISBLANK(PriceData!K57),"",PriceData!K57)</f>
        <v/>
      </c>
      <c r="L59" s="1" t="str">
        <f>IF(ISBLANK(PriceData!L57),"",PriceData!L57)</f>
        <v/>
      </c>
      <c r="M59" s="1" t="str">
        <f>IF(ISBLANK(PriceData!M57),"",PriceData!M57)</f>
        <v/>
      </c>
      <c r="N59" s="1" t="str">
        <f>IF(ISBLANK(PriceData!N57),"",PriceData!N57)</f>
        <v/>
      </c>
      <c r="O59" s="1" t="str">
        <f>IF(ISBLANK(PriceData!O57),"",PriceData!O57)</f>
        <v/>
      </c>
      <c r="P59" s="1" t="str">
        <f>IF(ISBLANK(PriceData!P57),"",PriceData!P57)</f>
        <v/>
      </c>
      <c r="Q59" s="1" t="str">
        <f>IF(ISBLANK(PriceData!Q57),"",PriceData!Q57)</f>
        <v/>
      </c>
      <c r="R59" s="1" t="str">
        <f>IF(ISBLANK(PriceData!R57),"",PriceData!R57)</f>
        <v/>
      </c>
      <c r="S59" s="1" t="str">
        <f>IF(ISBLANK(PriceData!S57),"",PriceData!S57)</f>
        <v/>
      </c>
      <c r="T59" s="1" t="str">
        <f>IF(ISBLANK(PriceData!T57),"",PriceData!T57)</f>
        <v/>
      </c>
      <c r="U59" s="1" t="str">
        <f>IF(ISBLANK(PriceData!U57),"",PriceData!U57)</f>
        <v/>
      </c>
      <c r="V59" s="1" t="str">
        <f>IF(ISBLANK(PriceData!V57),"",PriceData!V57)</f>
        <v/>
      </c>
      <c r="W59" s="1" t="str">
        <f>IF(ISBLANK(PriceData!W57),"",PriceData!W57)</f>
        <v/>
      </c>
      <c r="X59" s="1" t="str">
        <f>IF(ISBLANK(PriceData!X57),"",PriceData!X57)</f>
        <v/>
      </c>
      <c r="Y59" s="1" t="str">
        <f>IF(ISBLANK(PriceData!Y57),"",PriceData!Y57)</f>
        <v/>
      </c>
      <c r="Z59" s="1" t="str">
        <f>IF(ISBLANK(PriceData!Z57),"",PriceData!Z57)</f>
        <v/>
      </c>
      <c r="AA59" s="1" t="str">
        <f>IF(ISBLANK(PriceData!AA57),"",PriceData!AA57)</f>
        <v/>
      </c>
      <c r="AB59" s="1" t="str">
        <f>IF(ISBLANK(PriceData!AB57),"",PriceData!AB57)</f>
        <v/>
      </c>
      <c r="AC59" s="1" t="str">
        <f>IF(ISBLANK(PriceData!AC57),"",PriceData!AC57)</f>
        <v/>
      </c>
      <c r="AD59" s="1" t="str">
        <f>IF(ISBLANK(PriceData!AD57),"",PriceData!AD57)</f>
        <v/>
      </c>
      <c r="AE59" s="1" t="str">
        <f>IF(ISBLANK(PriceData!AE57),"",PriceData!AE57)</f>
        <v/>
      </c>
      <c r="AF59" s="1" t="str">
        <f>IF(ISBLANK(PriceData!AF57),"",PriceData!AF57)</f>
        <v/>
      </c>
      <c r="AG59" s="1" t="str">
        <f>IF(ISBLANK(PriceData!AG57),"",PriceData!AG57)</f>
        <v/>
      </c>
      <c r="AH59" s="1" t="str">
        <f>IF(ISBLANK(PriceData!AH57),"",PriceData!AH57)</f>
        <v/>
      </c>
      <c r="AI59" s="1" t="str">
        <f>IF(ISBLANK(PriceData!AI57),"",PriceData!AI57)</f>
        <v/>
      </c>
      <c r="AJ59" s="1" t="str">
        <f>IF(ISBLANK(PriceData!AJ57),"",PriceData!AJ57)</f>
        <v/>
      </c>
      <c r="AK59" s="1" t="str">
        <f>IF(ISBLANK(PriceData!AK57),"",PriceData!AK57)</f>
        <v/>
      </c>
      <c r="AL59" s="1" t="str">
        <f>IF(ISBLANK(PriceData!AL57),"",PriceData!AL57)</f>
        <v/>
      </c>
      <c r="AM59" s="1" t="str">
        <f>IF(ISBLANK(PriceData!AM57),"",PriceData!AM57)</f>
        <v/>
      </c>
      <c r="AN59" s="1" t="str">
        <f>IF(ISBLANK(PriceData!AN57),"",PriceData!AN57)</f>
        <v/>
      </c>
      <c r="AO59" s="1" t="str">
        <f>IF(ISBLANK(PriceData!AO57),"",PriceData!AO57)</f>
        <v/>
      </c>
      <c r="AP59" s="1" t="str">
        <f>IF(ISBLANK(PriceData!AP57),"",PriceData!AP57)</f>
        <v/>
      </c>
      <c r="AQ59" s="1" t="str">
        <f>IF(ISBLANK(PriceData!AQ57),"",PriceData!AQ57)</f>
        <v/>
      </c>
      <c r="AR59" s="1" t="str">
        <f>IF(ISBLANK(PriceData!AR57),"",PriceData!AR57)</f>
        <v/>
      </c>
      <c r="AS59" s="1" t="str">
        <f>IF(ISBLANK(PriceData!AS57),"",PriceData!AS57)</f>
        <v/>
      </c>
      <c r="AT59" s="1" t="str">
        <f>IF(ISBLANK(PriceData!AT57),"",PriceData!AT57)</f>
        <v/>
      </c>
      <c r="AU59" s="1" t="str">
        <f>IF(ISBLANK(PriceData!AU57),"",PriceData!AU57)</f>
        <v/>
      </c>
      <c r="AV59" s="1" t="str">
        <f>IF(ISBLANK(PriceData!AV57),"",PriceData!AV57)</f>
        <v/>
      </c>
      <c r="AW59" s="1" t="str">
        <f>IF(ISBLANK(PriceData!AW57),"",PriceData!AW57)</f>
        <v/>
      </c>
      <c r="AX59" s="1" t="str">
        <f>IF(ISBLANK(PriceData!AX57),"",PriceData!AX57)</f>
        <v/>
      </c>
      <c r="AY59" s="1" t="str">
        <f>IF(ISBLANK(PriceData!AY57),"",PriceData!AY57)</f>
        <v/>
      </c>
      <c r="AZ59" s="1" t="str">
        <f>IF(ISBLANK(PriceData!AZ57),"",PriceData!AZ57)</f>
        <v/>
      </c>
      <c r="BA59" s="1" t="str">
        <f>IF(ISBLANK(PriceData!BA57),"",PriceData!BA57)</f>
        <v/>
      </c>
      <c r="BB59" s="1" t="str">
        <f>IF(ISBLANK(PriceData!BB57),"",PriceData!BB57)</f>
        <v/>
      </c>
      <c r="BC59" s="1" t="str">
        <f>IF(ISBLANK(PriceData!BC57),"",PriceData!BC57)</f>
        <v/>
      </c>
      <c r="BD59" s="1" t="str">
        <f>IF(ISBLANK(PriceData!BD57),"",PriceData!BD57)</f>
        <v/>
      </c>
      <c r="BE59" s="1" t="str">
        <f>IF(ISBLANK(PriceData!BE57),"",PriceData!BE57)</f>
        <v/>
      </c>
      <c r="BF59" s="1" t="str">
        <f>IF(ISBLANK(PriceData!BF57),"",PriceData!BF57)</f>
        <v/>
      </c>
      <c r="BG59" s="1" t="str">
        <f>IF(ISBLANK(PriceData!BG57),"",PriceData!BG57)</f>
        <v/>
      </c>
      <c r="BH59" s="1" t="str">
        <f>IF(ISBLANK(PriceData!BH57),"",PriceData!BH57)</f>
        <v/>
      </c>
      <c r="BI59" s="1" t="str">
        <f>IF(ISBLANK(PriceData!BI57),"",PriceData!BI57)</f>
        <v/>
      </c>
      <c r="BJ59" s="1" t="str">
        <f>IF(ISBLANK(PriceData!BJ57),"",PriceData!BJ57)</f>
        <v/>
      </c>
      <c r="BK59" s="1" t="str">
        <f>IF(ISBLANK(PriceData!BK57),"",PriceData!BK57)</f>
        <v/>
      </c>
      <c r="BL59" s="1" t="str">
        <f>IF(ISBLANK(PriceData!BL57),"",PriceData!BL57)</f>
        <v/>
      </c>
      <c r="BM59" s="1" t="str">
        <f>IF(ISBLANK(PriceData!BM57),"",PriceData!BM57)</f>
        <v/>
      </c>
      <c r="BN59" s="1" t="str">
        <f>IF(ISBLANK(PriceData!BN57),"",PriceData!BN57)</f>
        <v/>
      </c>
      <c r="BO59" s="1" t="str">
        <f>IF(ISBLANK(PriceData!BO57),"",PriceData!BO57)</f>
        <v/>
      </c>
      <c r="BP59" s="1" t="str">
        <f>IF(ISBLANK(PriceData!BP57),"",PriceData!BP57)</f>
        <v/>
      </c>
      <c r="BQ59" s="1" t="str">
        <f>IF(ISBLANK(PriceData!BQ57),"",PriceData!BQ57)</f>
        <v/>
      </c>
      <c r="BR59" s="1" t="str">
        <f>IF(ISBLANK(PriceData!BR57),"",PriceData!BR57)</f>
        <v/>
      </c>
      <c r="BS59" s="1" t="str">
        <f>IF(ISBLANK(PriceData!BS57),"",PriceData!BS57)</f>
        <v/>
      </c>
      <c r="BT59" s="1" t="str">
        <f>IF(ISBLANK(PriceData!BT57),"",PriceData!BT57)</f>
        <v/>
      </c>
      <c r="BU59" s="1" t="str">
        <f>IF(ISBLANK(PriceData!BU57),"",PriceData!BU57)</f>
        <v/>
      </c>
      <c r="BV59" s="1" t="str">
        <f>IF(ISBLANK(PriceData!BV57),"",PriceData!BV57)</f>
        <v/>
      </c>
      <c r="BW59" s="1" t="str">
        <f>IF(ISBLANK(PriceData!BW57),"",PriceData!BW57)</f>
        <v/>
      </c>
      <c r="BX59" s="1" t="str">
        <f>IF(ISBLANK(PriceData!BX57),"",PriceData!BX57)</f>
        <v/>
      </c>
      <c r="BY59" s="1" t="str">
        <f>IF(ISBLANK(PriceData!BY57),"",PriceData!BY57)</f>
        <v/>
      </c>
      <c r="BZ59" s="1" t="str">
        <f>IF(ISBLANK(PriceData!BZ57),"",PriceData!BZ57)</f>
        <v/>
      </c>
      <c r="CA59" s="1" t="str">
        <f>IF(ISBLANK(PriceData!CA57),"",PriceData!CA57)</f>
        <v/>
      </c>
      <c r="CB59" s="1" t="str">
        <f>IF(ISBLANK(PriceData!CB57),"",PriceData!CB57)</f>
        <v/>
      </c>
      <c r="CC59" s="1" t="str">
        <f>IF(ISBLANK(PriceData!CC57),"",PriceData!CC57)</f>
        <v/>
      </c>
      <c r="CD59" s="1" t="str">
        <f>IF(ISBLANK(PriceData!CD57),"",PriceData!CD57)</f>
        <v/>
      </c>
      <c r="CE59" s="1" t="str">
        <f>IF(ISBLANK(PriceData!CE57),"",PriceData!CE57)</f>
        <v/>
      </c>
      <c r="CF59" s="1" t="str">
        <f>IF(ISBLANK(PriceData!CF57),"",PriceData!CF57)</f>
        <v/>
      </c>
      <c r="CG59" s="1" t="str">
        <f>IF(ISBLANK(PriceData!CG57),"",PriceData!CG57)</f>
        <v/>
      </c>
      <c r="CH59" s="1" t="str">
        <f>IF(ISBLANK(PriceData!CH57),"",PriceData!CH57)</f>
        <v/>
      </c>
      <c r="CI59" s="1" t="str">
        <f>IF(ISBLANK(PriceData!CI57),"",PriceData!CI57)</f>
        <v/>
      </c>
      <c r="CJ59" s="1" t="str">
        <f>IF(ISBLANK(PriceData!CJ57),"",PriceData!CJ57)</f>
        <v/>
      </c>
      <c r="CK59" s="1" t="str">
        <f>IF(ISBLANK(PriceData!CK57),"",PriceData!CK57)</f>
        <v/>
      </c>
      <c r="CL59" s="1" t="str">
        <f>IF(ISBLANK(PriceData!CL57),"",PriceData!CL57)</f>
        <v/>
      </c>
      <c r="CM59" s="1" t="str">
        <f>IF(ISBLANK(PriceData!CM57),"",PriceData!CM57)</f>
        <v/>
      </c>
      <c r="CN59" s="1" t="str">
        <f>IF(ISBLANK(PriceData!CN57),"",PriceData!CN57)</f>
        <v/>
      </c>
    </row>
    <row r="60" spans="2:92" x14ac:dyDescent="0.25">
      <c r="B60" s="1" t="str">
        <f>IF(ISBLANK(PriceData!A58),"",PriceData!A58)</f>
        <v/>
      </c>
      <c r="C60" s="1" t="str">
        <f>IF(ISBLANK(PriceData!C58),"",PriceData!C58)</f>
        <v/>
      </c>
      <c r="D60" s="1" t="str">
        <f>IF(ISBLANK(PriceData!D58),"",PriceData!D58)</f>
        <v/>
      </c>
      <c r="E60" s="1" t="str">
        <f>IF(ISBLANK(PriceData!E58),"",PriceData!E58)</f>
        <v/>
      </c>
      <c r="F60" s="1" t="str">
        <f>IF(ISBLANK(PriceData!F58),"",PriceData!F58)</f>
        <v/>
      </c>
      <c r="G60" s="1" t="str">
        <f>IF(ISBLANK(PriceData!G58),"",PriceData!G58)</f>
        <v/>
      </c>
      <c r="H60" s="1" t="str">
        <f>IF(ISBLANK(PriceData!H58),"",PriceData!H58)</f>
        <v/>
      </c>
      <c r="I60" s="1" t="str">
        <f>IF(ISBLANK(PriceData!I58),"",PriceData!I58)</f>
        <v/>
      </c>
      <c r="J60" s="1" t="str">
        <f>IF(ISBLANK(PriceData!J58),"",PriceData!J58)</f>
        <v/>
      </c>
      <c r="K60" s="1" t="str">
        <f>IF(ISBLANK(PriceData!K58),"",PriceData!K58)</f>
        <v/>
      </c>
      <c r="L60" s="1" t="str">
        <f>IF(ISBLANK(PriceData!L58),"",PriceData!L58)</f>
        <v/>
      </c>
      <c r="M60" s="1" t="str">
        <f>IF(ISBLANK(PriceData!M58),"",PriceData!M58)</f>
        <v/>
      </c>
      <c r="N60" s="1" t="str">
        <f>IF(ISBLANK(PriceData!N58),"",PriceData!N58)</f>
        <v/>
      </c>
      <c r="O60" s="1" t="str">
        <f>IF(ISBLANK(PriceData!O58),"",PriceData!O58)</f>
        <v/>
      </c>
      <c r="P60" s="1" t="str">
        <f>IF(ISBLANK(PriceData!P58),"",PriceData!P58)</f>
        <v/>
      </c>
      <c r="Q60" s="1" t="str">
        <f>IF(ISBLANK(PriceData!Q58),"",PriceData!Q58)</f>
        <v/>
      </c>
      <c r="R60" s="1" t="str">
        <f>IF(ISBLANK(PriceData!R58),"",PriceData!R58)</f>
        <v/>
      </c>
      <c r="S60" s="1" t="str">
        <f>IF(ISBLANK(PriceData!S58),"",PriceData!S58)</f>
        <v/>
      </c>
      <c r="T60" s="1" t="str">
        <f>IF(ISBLANK(PriceData!T58),"",PriceData!T58)</f>
        <v/>
      </c>
      <c r="U60" s="1" t="str">
        <f>IF(ISBLANK(PriceData!U58),"",PriceData!U58)</f>
        <v/>
      </c>
      <c r="V60" s="1" t="str">
        <f>IF(ISBLANK(PriceData!V58),"",PriceData!V58)</f>
        <v/>
      </c>
      <c r="W60" s="1" t="str">
        <f>IF(ISBLANK(PriceData!W58),"",PriceData!W58)</f>
        <v/>
      </c>
      <c r="X60" s="1" t="str">
        <f>IF(ISBLANK(PriceData!X58),"",PriceData!X58)</f>
        <v/>
      </c>
      <c r="Y60" s="1" t="str">
        <f>IF(ISBLANK(PriceData!Y58),"",PriceData!Y58)</f>
        <v/>
      </c>
      <c r="Z60" s="1" t="str">
        <f>IF(ISBLANK(PriceData!Z58),"",PriceData!Z58)</f>
        <v/>
      </c>
      <c r="AA60" s="1" t="str">
        <f>IF(ISBLANK(PriceData!AA58),"",PriceData!AA58)</f>
        <v/>
      </c>
      <c r="AB60" s="1" t="str">
        <f>IF(ISBLANK(PriceData!AB58),"",PriceData!AB58)</f>
        <v/>
      </c>
      <c r="AC60" s="1" t="str">
        <f>IF(ISBLANK(PriceData!AC58),"",PriceData!AC58)</f>
        <v/>
      </c>
      <c r="AD60" s="1" t="str">
        <f>IF(ISBLANK(PriceData!AD58),"",PriceData!AD58)</f>
        <v/>
      </c>
      <c r="AE60" s="1" t="str">
        <f>IF(ISBLANK(PriceData!AE58),"",PriceData!AE58)</f>
        <v/>
      </c>
      <c r="AF60" s="1" t="str">
        <f>IF(ISBLANK(PriceData!AF58),"",PriceData!AF58)</f>
        <v/>
      </c>
      <c r="AG60" s="1" t="str">
        <f>IF(ISBLANK(PriceData!AG58),"",PriceData!AG58)</f>
        <v/>
      </c>
      <c r="AH60" s="1" t="str">
        <f>IF(ISBLANK(PriceData!AH58),"",PriceData!AH58)</f>
        <v/>
      </c>
      <c r="AI60" s="1" t="str">
        <f>IF(ISBLANK(PriceData!AI58),"",PriceData!AI58)</f>
        <v/>
      </c>
      <c r="AJ60" s="1" t="str">
        <f>IF(ISBLANK(PriceData!AJ58),"",PriceData!AJ58)</f>
        <v/>
      </c>
      <c r="AK60" s="1" t="str">
        <f>IF(ISBLANK(PriceData!AK58),"",PriceData!AK58)</f>
        <v/>
      </c>
      <c r="AL60" s="1" t="str">
        <f>IF(ISBLANK(PriceData!AL58),"",PriceData!AL58)</f>
        <v/>
      </c>
      <c r="AM60" s="1" t="str">
        <f>IF(ISBLANK(PriceData!AM58),"",PriceData!AM58)</f>
        <v/>
      </c>
      <c r="AN60" s="1" t="str">
        <f>IF(ISBLANK(PriceData!AN58),"",PriceData!AN58)</f>
        <v/>
      </c>
      <c r="AO60" s="1" t="str">
        <f>IF(ISBLANK(PriceData!AO58),"",PriceData!AO58)</f>
        <v/>
      </c>
      <c r="AP60" s="1" t="str">
        <f>IF(ISBLANK(PriceData!AP58),"",PriceData!AP58)</f>
        <v/>
      </c>
      <c r="AQ60" s="1" t="str">
        <f>IF(ISBLANK(PriceData!AQ58),"",PriceData!AQ58)</f>
        <v/>
      </c>
      <c r="AR60" s="1" t="str">
        <f>IF(ISBLANK(PriceData!AR58),"",PriceData!AR58)</f>
        <v/>
      </c>
      <c r="AS60" s="1" t="str">
        <f>IF(ISBLANK(PriceData!AS58),"",PriceData!AS58)</f>
        <v/>
      </c>
      <c r="AT60" s="1" t="str">
        <f>IF(ISBLANK(PriceData!AT58),"",PriceData!AT58)</f>
        <v/>
      </c>
      <c r="AU60" s="1" t="str">
        <f>IF(ISBLANK(PriceData!AU58),"",PriceData!AU58)</f>
        <v/>
      </c>
      <c r="AV60" s="1" t="str">
        <f>IF(ISBLANK(PriceData!AV58),"",PriceData!AV58)</f>
        <v/>
      </c>
      <c r="AW60" s="1" t="str">
        <f>IF(ISBLANK(PriceData!AW58),"",PriceData!AW58)</f>
        <v/>
      </c>
      <c r="AX60" s="1" t="str">
        <f>IF(ISBLANK(PriceData!AX58),"",PriceData!AX58)</f>
        <v/>
      </c>
      <c r="AY60" s="1" t="str">
        <f>IF(ISBLANK(PriceData!AY58),"",PriceData!AY58)</f>
        <v/>
      </c>
      <c r="AZ60" s="1" t="str">
        <f>IF(ISBLANK(PriceData!AZ58),"",PriceData!AZ58)</f>
        <v/>
      </c>
      <c r="BA60" s="1" t="str">
        <f>IF(ISBLANK(PriceData!BA58),"",PriceData!BA58)</f>
        <v/>
      </c>
      <c r="BB60" s="1" t="str">
        <f>IF(ISBLANK(PriceData!BB58),"",PriceData!BB58)</f>
        <v/>
      </c>
      <c r="BC60" s="1" t="str">
        <f>IF(ISBLANK(PriceData!BC58),"",PriceData!BC58)</f>
        <v/>
      </c>
      <c r="BD60" s="1" t="str">
        <f>IF(ISBLANK(PriceData!BD58),"",PriceData!BD58)</f>
        <v/>
      </c>
      <c r="BE60" s="1" t="str">
        <f>IF(ISBLANK(PriceData!BE58),"",PriceData!BE58)</f>
        <v/>
      </c>
      <c r="BF60" s="1" t="str">
        <f>IF(ISBLANK(PriceData!BF58),"",PriceData!BF58)</f>
        <v/>
      </c>
      <c r="BG60" s="1" t="str">
        <f>IF(ISBLANK(PriceData!BG58),"",PriceData!BG58)</f>
        <v/>
      </c>
      <c r="BH60" s="1" t="str">
        <f>IF(ISBLANK(PriceData!BH58),"",PriceData!BH58)</f>
        <v/>
      </c>
      <c r="BI60" s="1" t="str">
        <f>IF(ISBLANK(PriceData!BI58),"",PriceData!BI58)</f>
        <v/>
      </c>
      <c r="BJ60" s="1" t="str">
        <f>IF(ISBLANK(PriceData!BJ58),"",PriceData!BJ58)</f>
        <v/>
      </c>
      <c r="BK60" s="1" t="str">
        <f>IF(ISBLANK(PriceData!BK58),"",PriceData!BK58)</f>
        <v/>
      </c>
      <c r="BL60" s="1" t="str">
        <f>IF(ISBLANK(PriceData!BL58),"",PriceData!BL58)</f>
        <v/>
      </c>
      <c r="BM60" s="1" t="str">
        <f>IF(ISBLANK(PriceData!BM58),"",PriceData!BM58)</f>
        <v/>
      </c>
      <c r="BN60" s="1" t="str">
        <f>IF(ISBLANK(PriceData!BN58),"",PriceData!BN58)</f>
        <v/>
      </c>
      <c r="BO60" s="1" t="str">
        <f>IF(ISBLANK(PriceData!BO58),"",PriceData!BO58)</f>
        <v/>
      </c>
      <c r="BP60" s="1" t="str">
        <f>IF(ISBLANK(PriceData!BP58),"",PriceData!BP58)</f>
        <v/>
      </c>
      <c r="BQ60" s="1" t="str">
        <f>IF(ISBLANK(PriceData!BQ58),"",PriceData!BQ58)</f>
        <v/>
      </c>
      <c r="BR60" s="1" t="str">
        <f>IF(ISBLANK(PriceData!BR58),"",PriceData!BR58)</f>
        <v/>
      </c>
      <c r="BS60" s="1" t="str">
        <f>IF(ISBLANK(PriceData!BS58),"",PriceData!BS58)</f>
        <v/>
      </c>
      <c r="BT60" s="1" t="str">
        <f>IF(ISBLANK(PriceData!BT58),"",PriceData!BT58)</f>
        <v/>
      </c>
      <c r="BU60" s="1" t="str">
        <f>IF(ISBLANK(PriceData!BU58),"",PriceData!BU58)</f>
        <v/>
      </c>
      <c r="BV60" s="1" t="str">
        <f>IF(ISBLANK(PriceData!BV58),"",PriceData!BV58)</f>
        <v/>
      </c>
      <c r="BW60" s="1" t="str">
        <f>IF(ISBLANK(PriceData!BW58),"",PriceData!BW58)</f>
        <v/>
      </c>
      <c r="BX60" s="1" t="str">
        <f>IF(ISBLANK(PriceData!BX58),"",PriceData!BX58)</f>
        <v/>
      </c>
      <c r="BY60" s="1" t="str">
        <f>IF(ISBLANK(PriceData!BY58),"",PriceData!BY58)</f>
        <v/>
      </c>
      <c r="BZ60" s="1" t="str">
        <f>IF(ISBLANK(PriceData!BZ58),"",PriceData!BZ58)</f>
        <v/>
      </c>
      <c r="CA60" s="1" t="str">
        <f>IF(ISBLANK(PriceData!CA58),"",PriceData!CA58)</f>
        <v/>
      </c>
      <c r="CB60" s="1" t="str">
        <f>IF(ISBLANK(PriceData!CB58),"",PriceData!CB58)</f>
        <v/>
      </c>
      <c r="CC60" s="1" t="str">
        <f>IF(ISBLANK(PriceData!CC58),"",PriceData!CC58)</f>
        <v/>
      </c>
      <c r="CD60" s="1" t="str">
        <f>IF(ISBLANK(PriceData!CD58),"",PriceData!CD58)</f>
        <v/>
      </c>
      <c r="CE60" s="1" t="str">
        <f>IF(ISBLANK(PriceData!CE58),"",PriceData!CE58)</f>
        <v/>
      </c>
      <c r="CF60" s="1" t="str">
        <f>IF(ISBLANK(PriceData!CF58),"",PriceData!CF58)</f>
        <v/>
      </c>
      <c r="CG60" s="1" t="str">
        <f>IF(ISBLANK(PriceData!CG58),"",PriceData!CG58)</f>
        <v/>
      </c>
      <c r="CH60" s="1" t="str">
        <f>IF(ISBLANK(PriceData!CH58),"",PriceData!CH58)</f>
        <v/>
      </c>
      <c r="CI60" s="1" t="str">
        <f>IF(ISBLANK(PriceData!CI58),"",PriceData!CI58)</f>
        <v/>
      </c>
      <c r="CJ60" s="1" t="str">
        <f>IF(ISBLANK(PriceData!CJ58),"",PriceData!CJ58)</f>
        <v/>
      </c>
      <c r="CK60" s="1" t="str">
        <f>IF(ISBLANK(PriceData!CK58),"",PriceData!CK58)</f>
        <v/>
      </c>
      <c r="CL60" s="1" t="str">
        <f>IF(ISBLANK(PriceData!CL58),"",PriceData!CL58)</f>
        <v/>
      </c>
      <c r="CM60" s="1" t="str">
        <f>IF(ISBLANK(PriceData!CM58),"",PriceData!CM58)</f>
        <v/>
      </c>
      <c r="CN60" s="1" t="str">
        <f>IF(ISBLANK(PriceData!CN58),"",PriceData!CN58)</f>
        <v/>
      </c>
    </row>
    <row r="61" spans="2:92" x14ac:dyDescent="0.25">
      <c r="B61" s="1" t="str">
        <f>IF(ISBLANK(PriceData!A59),"",PriceData!A59)</f>
        <v/>
      </c>
      <c r="C61" s="1" t="str">
        <f>IF(ISBLANK(PriceData!C59),"",PriceData!C59)</f>
        <v/>
      </c>
      <c r="D61" s="1" t="str">
        <f>IF(ISBLANK(PriceData!D59),"",PriceData!D59)</f>
        <v/>
      </c>
      <c r="E61" s="1" t="str">
        <f>IF(ISBLANK(PriceData!E59),"",PriceData!E59)</f>
        <v/>
      </c>
      <c r="F61" s="1" t="str">
        <f>IF(ISBLANK(PriceData!F59),"",PriceData!F59)</f>
        <v/>
      </c>
      <c r="G61" s="1" t="str">
        <f>IF(ISBLANK(PriceData!G59),"",PriceData!G59)</f>
        <v/>
      </c>
      <c r="H61" s="1" t="str">
        <f>IF(ISBLANK(PriceData!H59),"",PriceData!H59)</f>
        <v/>
      </c>
      <c r="I61" s="1" t="str">
        <f>IF(ISBLANK(PriceData!I59),"",PriceData!I59)</f>
        <v/>
      </c>
      <c r="J61" s="1" t="str">
        <f>IF(ISBLANK(PriceData!J59),"",PriceData!J59)</f>
        <v/>
      </c>
      <c r="K61" s="1" t="str">
        <f>IF(ISBLANK(PriceData!K59),"",PriceData!K59)</f>
        <v/>
      </c>
      <c r="L61" s="1" t="str">
        <f>IF(ISBLANK(PriceData!L59),"",PriceData!L59)</f>
        <v/>
      </c>
      <c r="M61" s="1" t="str">
        <f>IF(ISBLANK(PriceData!M59),"",PriceData!M59)</f>
        <v/>
      </c>
      <c r="N61" s="1" t="str">
        <f>IF(ISBLANK(PriceData!N59),"",PriceData!N59)</f>
        <v/>
      </c>
      <c r="O61" s="1" t="str">
        <f>IF(ISBLANK(PriceData!O59),"",PriceData!O59)</f>
        <v/>
      </c>
      <c r="P61" s="1" t="str">
        <f>IF(ISBLANK(PriceData!P59),"",PriceData!P59)</f>
        <v/>
      </c>
      <c r="Q61" s="1" t="str">
        <f>IF(ISBLANK(PriceData!Q59),"",PriceData!Q59)</f>
        <v/>
      </c>
      <c r="R61" s="1" t="str">
        <f>IF(ISBLANK(PriceData!R59),"",PriceData!R59)</f>
        <v/>
      </c>
      <c r="S61" s="1" t="str">
        <f>IF(ISBLANK(PriceData!S59),"",PriceData!S59)</f>
        <v/>
      </c>
      <c r="T61" s="1" t="str">
        <f>IF(ISBLANK(PriceData!T59),"",PriceData!T59)</f>
        <v/>
      </c>
      <c r="U61" s="1" t="str">
        <f>IF(ISBLANK(PriceData!U59),"",PriceData!U59)</f>
        <v/>
      </c>
      <c r="V61" s="1" t="str">
        <f>IF(ISBLANK(PriceData!V59),"",PriceData!V59)</f>
        <v/>
      </c>
      <c r="W61" s="1" t="str">
        <f>IF(ISBLANK(PriceData!W59),"",PriceData!W59)</f>
        <v/>
      </c>
      <c r="X61" s="1" t="str">
        <f>IF(ISBLANK(PriceData!X59),"",PriceData!X59)</f>
        <v/>
      </c>
      <c r="Y61" s="1" t="str">
        <f>IF(ISBLANK(PriceData!Y59),"",PriceData!Y59)</f>
        <v/>
      </c>
      <c r="Z61" s="1" t="str">
        <f>IF(ISBLANK(PriceData!Z59),"",PriceData!Z59)</f>
        <v/>
      </c>
      <c r="AA61" s="1" t="str">
        <f>IF(ISBLANK(PriceData!AA59),"",PriceData!AA59)</f>
        <v/>
      </c>
      <c r="AB61" s="1" t="str">
        <f>IF(ISBLANK(PriceData!AB59),"",PriceData!AB59)</f>
        <v/>
      </c>
      <c r="AC61" s="1" t="str">
        <f>IF(ISBLANK(PriceData!AC59),"",PriceData!AC59)</f>
        <v/>
      </c>
      <c r="AD61" s="1" t="str">
        <f>IF(ISBLANK(PriceData!AD59),"",PriceData!AD59)</f>
        <v/>
      </c>
      <c r="AE61" s="1" t="str">
        <f>IF(ISBLANK(PriceData!AE59),"",PriceData!AE59)</f>
        <v/>
      </c>
      <c r="AF61" s="1" t="str">
        <f>IF(ISBLANK(PriceData!AF59),"",PriceData!AF59)</f>
        <v/>
      </c>
      <c r="AG61" s="1" t="str">
        <f>IF(ISBLANK(PriceData!AG59),"",PriceData!AG59)</f>
        <v/>
      </c>
      <c r="AH61" s="1" t="str">
        <f>IF(ISBLANK(PriceData!AH59),"",PriceData!AH59)</f>
        <v/>
      </c>
      <c r="AI61" s="1" t="str">
        <f>IF(ISBLANK(PriceData!AI59),"",PriceData!AI59)</f>
        <v/>
      </c>
      <c r="AJ61" s="1" t="str">
        <f>IF(ISBLANK(PriceData!AJ59),"",PriceData!AJ59)</f>
        <v/>
      </c>
      <c r="AK61" s="1" t="str">
        <f>IF(ISBLANK(PriceData!AK59),"",PriceData!AK59)</f>
        <v/>
      </c>
      <c r="AL61" s="1" t="str">
        <f>IF(ISBLANK(PriceData!AL59),"",PriceData!AL59)</f>
        <v/>
      </c>
      <c r="AM61" s="1" t="str">
        <f>IF(ISBLANK(PriceData!AM59),"",PriceData!AM59)</f>
        <v/>
      </c>
      <c r="AN61" s="1" t="str">
        <f>IF(ISBLANK(PriceData!AN59),"",PriceData!AN59)</f>
        <v/>
      </c>
      <c r="AO61" s="1" t="str">
        <f>IF(ISBLANK(PriceData!AO59),"",PriceData!AO59)</f>
        <v/>
      </c>
      <c r="AP61" s="1" t="str">
        <f>IF(ISBLANK(PriceData!AP59),"",PriceData!AP59)</f>
        <v/>
      </c>
      <c r="AQ61" s="1" t="str">
        <f>IF(ISBLANK(PriceData!AQ59),"",PriceData!AQ59)</f>
        <v/>
      </c>
      <c r="AR61" s="1" t="str">
        <f>IF(ISBLANK(PriceData!AR59),"",PriceData!AR59)</f>
        <v/>
      </c>
      <c r="AS61" s="1" t="str">
        <f>IF(ISBLANK(PriceData!AS59),"",PriceData!AS59)</f>
        <v/>
      </c>
      <c r="AT61" s="1" t="str">
        <f>IF(ISBLANK(PriceData!AT59),"",PriceData!AT59)</f>
        <v/>
      </c>
      <c r="AU61" s="1" t="str">
        <f>IF(ISBLANK(PriceData!AU59),"",PriceData!AU59)</f>
        <v/>
      </c>
      <c r="AV61" s="1" t="str">
        <f>IF(ISBLANK(PriceData!AV59),"",PriceData!AV59)</f>
        <v/>
      </c>
      <c r="AW61" s="1" t="str">
        <f>IF(ISBLANK(PriceData!AW59),"",PriceData!AW59)</f>
        <v/>
      </c>
      <c r="AX61" s="1" t="str">
        <f>IF(ISBLANK(PriceData!AX59),"",PriceData!AX59)</f>
        <v/>
      </c>
      <c r="AY61" s="1" t="str">
        <f>IF(ISBLANK(PriceData!AY59),"",PriceData!AY59)</f>
        <v/>
      </c>
      <c r="AZ61" s="1" t="str">
        <f>IF(ISBLANK(PriceData!AZ59),"",PriceData!AZ59)</f>
        <v/>
      </c>
      <c r="BA61" s="1" t="str">
        <f>IF(ISBLANK(PriceData!BA59),"",PriceData!BA59)</f>
        <v/>
      </c>
      <c r="BB61" s="1" t="str">
        <f>IF(ISBLANK(PriceData!BB59),"",PriceData!BB59)</f>
        <v/>
      </c>
      <c r="BC61" s="1" t="str">
        <f>IF(ISBLANK(PriceData!BC59),"",PriceData!BC59)</f>
        <v/>
      </c>
      <c r="BD61" s="1" t="str">
        <f>IF(ISBLANK(PriceData!BD59),"",PriceData!BD59)</f>
        <v/>
      </c>
      <c r="BE61" s="1" t="str">
        <f>IF(ISBLANK(PriceData!BE59),"",PriceData!BE59)</f>
        <v/>
      </c>
      <c r="BF61" s="1" t="str">
        <f>IF(ISBLANK(PriceData!BF59),"",PriceData!BF59)</f>
        <v/>
      </c>
      <c r="BG61" s="1" t="str">
        <f>IF(ISBLANK(PriceData!BG59),"",PriceData!BG59)</f>
        <v/>
      </c>
      <c r="BH61" s="1" t="str">
        <f>IF(ISBLANK(PriceData!BH59),"",PriceData!BH59)</f>
        <v/>
      </c>
      <c r="BI61" s="1" t="str">
        <f>IF(ISBLANK(PriceData!BI59),"",PriceData!BI59)</f>
        <v/>
      </c>
      <c r="BJ61" s="1" t="str">
        <f>IF(ISBLANK(PriceData!BJ59),"",PriceData!BJ59)</f>
        <v/>
      </c>
      <c r="BK61" s="1" t="str">
        <f>IF(ISBLANK(PriceData!BK59),"",PriceData!BK59)</f>
        <v/>
      </c>
      <c r="BL61" s="1" t="str">
        <f>IF(ISBLANK(PriceData!BL59),"",PriceData!BL59)</f>
        <v/>
      </c>
      <c r="BM61" s="1" t="str">
        <f>IF(ISBLANK(PriceData!BM59),"",PriceData!BM59)</f>
        <v/>
      </c>
      <c r="BN61" s="1" t="str">
        <f>IF(ISBLANK(PriceData!BN59),"",PriceData!BN59)</f>
        <v/>
      </c>
      <c r="BO61" s="1" t="str">
        <f>IF(ISBLANK(PriceData!BO59),"",PriceData!BO59)</f>
        <v/>
      </c>
      <c r="BP61" s="1" t="str">
        <f>IF(ISBLANK(PriceData!BP59),"",PriceData!BP59)</f>
        <v/>
      </c>
      <c r="BQ61" s="1" t="str">
        <f>IF(ISBLANK(PriceData!BQ59),"",PriceData!BQ59)</f>
        <v/>
      </c>
      <c r="BR61" s="1" t="str">
        <f>IF(ISBLANK(PriceData!BR59),"",PriceData!BR59)</f>
        <v/>
      </c>
      <c r="BS61" s="1" t="str">
        <f>IF(ISBLANK(PriceData!BS59),"",PriceData!BS59)</f>
        <v/>
      </c>
      <c r="BT61" s="1" t="str">
        <f>IF(ISBLANK(PriceData!BT59),"",PriceData!BT59)</f>
        <v/>
      </c>
      <c r="BU61" s="1" t="str">
        <f>IF(ISBLANK(PriceData!BU59),"",PriceData!BU59)</f>
        <v/>
      </c>
      <c r="BV61" s="1" t="str">
        <f>IF(ISBLANK(PriceData!BV59),"",PriceData!BV59)</f>
        <v/>
      </c>
      <c r="BW61" s="1" t="str">
        <f>IF(ISBLANK(PriceData!BW59),"",PriceData!BW59)</f>
        <v/>
      </c>
      <c r="BX61" s="1" t="str">
        <f>IF(ISBLANK(PriceData!BX59),"",PriceData!BX59)</f>
        <v/>
      </c>
      <c r="BY61" s="1" t="str">
        <f>IF(ISBLANK(PriceData!BY59),"",PriceData!BY59)</f>
        <v/>
      </c>
      <c r="BZ61" s="1" t="str">
        <f>IF(ISBLANK(PriceData!BZ59),"",PriceData!BZ59)</f>
        <v/>
      </c>
      <c r="CA61" s="1" t="str">
        <f>IF(ISBLANK(PriceData!CA59),"",PriceData!CA59)</f>
        <v/>
      </c>
      <c r="CB61" s="1" t="str">
        <f>IF(ISBLANK(PriceData!CB59),"",PriceData!CB59)</f>
        <v/>
      </c>
      <c r="CC61" s="1" t="str">
        <f>IF(ISBLANK(PriceData!CC59),"",PriceData!CC59)</f>
        <v/>
      </c>
      <c r="CD61" s="1" t="str">
        <f>IF(ISBLANK(PriceData!CD59),"",PriceData!CD59)</f>
        <v/>
      </c>
      <c r="CE61" s="1" t="str">
        <f>IF(ISBLANK(PriceData!CE59),"",PriceData!CE59)</f>
        <v/>
      </c>
      <c r="CF61" s="1" t="str">
        <f>IF(ISBLANK(PriceData!CF59),"",PriceData!CF59)</f>
        <v/>
      </c>
      <c r="CG61" s="1" t="str">
        <f>IF(ISBLANK(PriceData!CG59),"",PriceData!CG59)</f>
        <v/>
      </c>
      <c r="CH61" s="1" t="str">
        <f>IF(ISBLANK(PriceData!CH59),"",PriceData!CH59)</f>
        <v/>
      </c>
      <c r="CI61" s="1" t="str">
        <f>IF(ISBLANK(PriceData!CI59),"",PriceData!CI59)</f>
        <v/>
      </c>
      <c r="CJ61" s="1" t="str">
        <f>IF(ISBLANK(PriceData!CJ59),"",PriceData!CJ59)</f>
        <v/>
      </c>
      <c r="CK61" s="1" t="str">
        <f>IF(ISBLANK(PriceData!CK59),"",PriceData!CK59)</f>
        <v/>
      </c>
      <c r="CL61" s="1" t="str">
        <f>IF(ISBLANK(PriceData!CL59),"",PriceData!CL59)</f>
        <v/>
      </c>
      <c r="CM61" s="1" t="str">
        <f>IF(ISBLANK(PriceData!CM59),"",PriceData!CM59)</f>
        <v/>
      </c>
      <c r="CN61" s="1" t="str">
        <f>IF(ISBLANK(PriceData!CN59),"",PriceData!CN59)</f>
        <v/>
      </c>
    </row>
    <row r="62" spans="2:92" x14ac:dyDescent="0.25">
      <c r="B62" s="1" t="str">
        <f>IF(ISBLANK(PriceData!A60),"",PriceData!A60)</f>
        <v/>
      </c>
      <c r="C62" s="1" t="str">
        <f>IF(ISBLANK(PriceData!C60),"",PriceData!C60)</f>
        <v/>
      </c>
      <c r="D62" s="1" t="str">
        <f>IF(ISBLANK(PriceData!D60),"",PriceData!D60)</f>
        <v/>
      </c>
      <c r="E62" s="1" t="str">
        <f>IF(ISBLANK(PriceData!E60),"",PriceData!E60)</f>
        <v/>
      </c>
      <c r="F62" s="1" t="str">
        <f>IF(ISBLANK(PriceData!F60),"",PriceData!F60)</f>
        <v/>
      </c>
      <c r="G62" s="1" t="str">
        <f>IF(ISBLANK(PriceData!G60),"",PriceData!G60)</f>
        <v/>
      </c>
      <c r="H62" s="1" t="str">
        <f>IF(ISBLANK(PriceData!H60),"",PriceData!H60)</f>
        <v/>
      </c>
      <c r="I62" s="1" t="str">
        <f>IF(ISBLANK(PriceData!I60),"",PriceData!I60)</f>
        <v/>
      </c>
      <c r="J62" s="1" t="str">
        <f>IF(ISBLANK(PriceData!J60),"",PriceData!J60)</f>
        <v/>
      </c>
      <c r="K62" s="1" t="str">
        <f>IF(ISBLANK(PriceData!K60),"",PriceData!K60)</f>
        <v/>
      </c>
      <c r="L62" s="1" t="str">
        <f>IF(ISBLANK(PriceData!L60),"",PriceData!L60)</f>
        <v/>
      </c>
      <c r="M62" s="1" t="str">
        <f>IF(ISBLANK(PriceData!M60),"",PriceData!M60)</f>
        <v/>
      </c>
      <c r="N62" s="1" t="str">
        <f>IF(ISBLANK(PriceData!N60),"",PriceData!N60)</f>
        <v/>
      </c>
      <c r="O62" s="1" t="str">
        <f>IF(ISBLANK(PriceData!O60),"",PriceData!O60)</f>
        <v/>
      </c>
      <c r="P62" s="1" t="str">
        <f>IF(ISBLANK(PriceData!P60),"",PriceData!P60)</f>
        <v/>
      </c>
      <c r="Q62" s="1" t="str">
        <f>IF(ISBLANK(PriceData!Q60),"",PriceData!Q60)</f>
        <v/>
      </c>
      <c r="R62" s="1" t="str">
        <f>IF(ISBLANK(PriceData!R60),"",PriceData!R60)</f>
        <v/>
      </c>
      <c r="S62" s="1" t="str">
        <f>IF(ISBLANK(PriceData!S60),"",PriceData!S60)</f>
        <v/>
      </c>
      <c r="T62" s="1" t="str">
        <f>IF(ISBLANK(PriceData!T60),"",PriceData!T60)</f>
        <v/>
      </c>
      <c r="U62" s="1" t="str">
        <f>IF(ISBLANK(PriceData!U60),"",PriceData!U60)</f>
        <v/>
      </c>
      <c r="V62" s="1" t="str">
        <f>IF(ISBLANK(PriceData!V60),"",PriceData!V60)</f>
        <v/>
      </c>
      <c r="W62" s="1" t="str">
        <f>IF(ISBLANK(PriceData!W60),"",PriceData!W60)</f>
        <v/>
      </c>
      <c r="X62" s="1" t="str">
        <f>IF(ISBLANK(PriceData!X60),"",PriceData!X60)</f>
        <v/>
      </c>
      <c r="Y62" s="1" t="str">
        <f>IF(ISBLANK(PriceData!Y60),"",PriceData!Y60)</f>
        <v/>
      </c>
      <c r="Z62" s="1" t="str">
        <f>IF(ISBLANK(PriceData!Z60),"",PriceData!Z60)</f>
        <v/>
      </c>
      <c r="AA62" s="1" t="str">
        <f>IF(ISBLANK(PriceData!AA60),"",PriceData!AA60)</f>
        <v/>
      </c>
      <c r="AB62" s="1" t="str">
        <f>IF(ISBLANK(PriceData!AB60),"",PriceData!AB60)</f>
        <v/>
      </c>
      <c r="AC62" s="1" t="str">
        <f>IF(ISBLANK(PriceData!AC60),"",PriceData!AC60)</f>
        <v/>
      </c>
      <c r="AD62" s="1" t="str">
        <f>IF(ISBLANK(PriceData!AD60),"",PriceData!AD60)</f>
        <v/>
      </c>
      <c r="AE62" s="1" t="str">
        <f>IF(ISBLANK(PriceData!AE60),"",PriceData!AE60)</f>
        <v/>
      </c>
      <c r="AF62" s="1" t="str">
        <f>IF(ISBLANK(PriceData!AF60),"",PriceData!AF60)</f>
        <v/>
      </c>
      <c r="AG62" s="1" t="str">
        <f>IF(ISBLANK(PriceData!AG60),"",PriceData!AG60)</f>
        <v/>
      </c>
      <c r="AH62" s="1" t="str">
        <f>IF(ISBLANK(PriceData!AH60),"",PriceData!AH60)</f>
        <v/>
      </c>
      <c r="AI62" s="1" t="str">
        <f>IF(ISBLANK(PriceData!AI60),"",PriceData!AI60)</f>
        <v/>
      </c>
      <c r="AJ62" s="1" t="str">
        <f>IF(ISBLANK(PriceData!AJ60),"",PriceData!AJ60)</f>
        <v/>
      </c>
      <c r="AK62" s="1" t="str">
        <f>IF(ISBLANK(PriceData!AK60),"",PriceData!AK60)</f>
        <v/>
      </c>
      <c r="AL62" s="1" t="str">
        <f>IF(ISBLANK(PriceData!AL60),"",PriceData!AL60)</f>
        <v/>
      </c>
      <c r="AM62" s="1" t="str">
        <f>IF(ISBLANK(PriceData!AM60),"",PriceData!AM60)</f>
        <v/>
      </c>
      <c r="AN62" s="1" t="str">
        <f>IF(ISBLANK(PriceData!AN60),"",PriceData!AN60)</f>
        <v/>
      </c>
      <c r="AO62" s="1" t="str">
        <f>IF(ISBLANK(PriceData!AO60),"",PriceData!AO60)</f>
        <v/>
      </c>
      <c r="AP62" s="1" t="str">
        <f>IF(ISBLANK(PriceData!AP60),"",PriceData!AP60)</f>
        <v/>
      </c>
      <c r="AQ62" s="1" t="str">
        <f>IF(ISBLANK(PriceData!AQ60),"",PriceData!AQ60)</f>
        <v/>
      </c>
      <c r="AR62" s="1" t="str">
        <f>IF(ISBLANK(PriceData!AR60),"",PriceData!AR60)</f>
        <v/>
      </c>
      <c r="AS62" s="1" t="str">
        <f>IF(ISBLANK(PriceData!AS60),"",PriceData!AS60)</f>
        <v/>
      </c>
      <c r="AT62" s="1" t="str">
        <f>IF(ISBLANK(PriceData!AT60),"",PriceData!AT60)</f>
        <v/>
      </c>
      <c r="AU62" s="1" t="str">
        <f>IF(ISBLANK(PriceData!AU60),"",PriceData!AU60)</f>
        <v/>
      </c>
      <c r="AV62" s="1" t="str">
        <f>IF(ISBLANK(PriceData!AV60),"",PriceData!AV60)</f>
        <v/>
      </c>
      <c r="AW62" s="1" t="str">
        <f>IF(ISBLANK(PriceData!AW60),"",PriceData!AW60)</f>
        <v/>
      </c>
      <c r="AX62" s="1" t="str">
        <f>IF(ISBLANK(PriceData!AX60),"",PriceData!AX60)</f>
        <v/>
      </c>
      <c r="AY62" s="1" t="str">
        <f>IF(ISBLANK(PriceData!AY60),"",PriceData!AY60)</f>
        <v/>
      </c>
      <c r="AZ62" s="1" t="str">
        <f>IF(ISBLANK(PriceData!AZ60),"",PriceData!AZ60)</f>
        <v/>
      </c>
      <c r="BA62" s="1" t="str">
        <f>IF(ISBLANK(PriceData!BA60),"",PriceData!BA60)</f>
        <v/>
      </c>
      <c r="BB62" s="1" t="str">
        <f>IF(ISBLANK(PriceData!BB60),"",PriceData!BB60)</f>
        <v/>
      </c>
      <c r="BC62" s="1" t="str">
        <f>IF(ISBLANK(PriceData!BC60),"",PriceData!BC60)</f>
        <v/>
      </c>
      <c r="BD62" s="1" t="str">
        <f>IF(ISBLANK(PriceData!BD60),"",PriceData!BD60)</f>
        <v/>
      </c>
      <c r="BE62" s="1" t="str">
        <f>IF(ISBLANK(PriceData!BE60),"",PriceData!BE60)</f>
        <v/>
      </c>
      <c r="BF62" s="1" t="str">
        <f>IF(ISBLANK(PriceData!BF60),"",PriceData!BF60)</f>
        <v/>
      </c>
      <c r="BG62" s="1" t="str">
        <f>IF(ISBLANK(PriceData!BG60),"",PriceData!BG60)</f>
        <v/>
      </c>
      <c r="BH62" s="1" t="str">
        <f>IF(ISBLANK(PriceData!BH60),"",PriceData!BH60)</f>
        <v/>
      </c>
      <c r="BI62" s="1" t="str">
        <f>IF(ISBLANK(PriceData!BI60),"",PriceData!BI60)</f>
        <v/>
      </c>
      <c r="BJ62" s="1" t="str">
        <f>IF(ISBLANK(PriceData!BJ60),"",PriceData!BJ60)</f>
        <v/>
      </c>
      <c r="BK62" s="1" t="str">
        <f>IF(ISBLANK(PriceData!BK60),"",PriceData!BK60)</f>
        <v/>
      </c>
      <c r="BL62" s="1" t="str">
        <f>IF(ISBLANK(PriceData!BL60),"",PriceData!BL60)</f>
        <v/>
      </c>
      <c r="BM62" s="1" t="str">
        <f>IF(ISBLANK(PriceData!BM60),"",PriceData!BM60)</f>
        <v/>
      </c>
      <c r="BN62" s="1" t="str">
        <f>IF(ISBLANK(PriceData!BN60),"",PriceData!BN60)</f>
        <v/>
      </c>
      <c r="BO62" s="1" t="str">
        <f>IF(ISBLANK(PriceData!BO60),"",PriceData!BO60)</f>
        <v/>
      </c>
      <c r="BP62" s="1" t="str">
        <f>IF(ISBLANK(PriceData!BP60),"",PriceData!BP60)</f>
        <v/>
      </c>
      <c r="BQ62" s="1" t="str">
        <f>IF(ISBLANK(PriceData!BQ60),"",PriceData!BQ60)</f>
        <v/>
      </c>
      <c r="BR62" s="1" t="str">
        <f>IF(ISBLANK(PriceData!BR60),"",PriceData!BR60)</f>
        <v/>
      </c>
      <c r="BS62" s="1" t="str">
        <f>IF(ISBLANK(PriceData!BS60),"",PriceData!BS60)</f>
        <v/>
      </c>
      <c r="BT62" s="1" t="str">
        <f>IF(ISBLANK(PriceData!BT60),"",PriceData!BT60)</f>
        <v/>
      </c>
      <c r="BU62" s="1" t="str">
        <f>IF(ISBLANK(PriceData!BU60),"",PriceData!BU60)</f>
        <v/>
      </c>
      <c r="BV62" s="1" t="str">
        <f>IF(ISBLANK(PriceData!BV60),"",PriceData!BV60)</f>
        <v/>
      </c>
      <c r="BW62" s="1" t="str">
        <f>IF(ISBLANK(PriceData!BW60),"",PriceData!BW60)</f>
        <v/>
      </c>
      <c r="BX62" s="1" t="str">
        <f>IF(ISBLANK(PriceData!BX60),"",PriceData!BX60)</f>
        <v/>
      </c>
      <c r="BY62" s="1" t="str">
        <f>IF(ISBLANK(PriceData!BY60),"",PriceData!BY60)</f>
        <v/>
      </c>
      <c r="BZ62" s="1" t="str">
        <f>IF(ISBLANK(PriceData!BZ60),"",PriceData!BZ60)</f>
        <v/>
      </c>
      <c r="CA62" s="1" t="str">
        <f>IF(ISBLANK(PriceData!CA60),"",PriceData!CA60)</f>
        <v/>
      </c>
      <c r="CB62" s="1" t="str">
        <f>IF(ISBLANK(PriceData!CB60),"",PriceData!CB60)</f>
        <v/>
      </c>
      <c r="CC62" s="1" t="str">
        <f>IF(ISBLANK(PriceData!CC60),"",PriceData!CC60)</f>
        <v/>
      </c>
      <c r="CD62" s="1" t="str">
        <f>IF(ISBLANK(PriceData!CD60),"",PriceData!CD60)</f>
        <v/>
      </c>
      <c r="CE62" s="1" t="str">
        <f>IF(ISBLANK(PriceData!CE60),"",PriceData!CE60)</f>
        <v/>
      </c>
      <c r="CF62" s="1" t="str">
        <f>IF(ISBLANK(PriceData!CF60),"",PriceData!CF60)</f>
        <v/>
      </c>
      <c r="CG62" s="1" t="str">
        <f>IF(ISBLANK(PriceData!CG60),"",PriceData!CG60)</f>
        <v/>
      </c>
      <c r="CH62" s="1" t="str">
        <f>IF(ISBLANK(PriceData!CH60),"",PriceData!CH60)</f>
        <v/>
      </c>
      <c r="CI62" s="1" t="str">
        <f>IF(ISBLANK(PriceData!CI60),"",PriceData!CI60)</f>
        <v/>
      </c>
      <c r="CJ62" s="1" t="str">
        <f>IF(ISBLANK(PriceData!CJ60),"",PriceData!CJ60)</f>
        <v/>
      </c>
      <c r="CK62" s="1" t="str">
        <f>IF(ISBLANK(PriceData!CK60),"",PriceData!CK60)</f>
        <v/>
      </c>
      <c r="CL62" s="1" t="str">
        <f>IF(ISBLANK(PriceData!CL60),"",PriceData!CL60)</f>
        <v/>
      </c>
      <c r="CM62" s="1" t="str">
        <f>IF(ISBLANK(PriceData!CM60),"",PriceData!CM60)</f>
        <v/>
      </c>
      <c r="CN62" s="1" t="str">
        <f>IF(ISBLANK(PriceData!CN60),"",PriceData!CN60)</f>
        <v/>
      </c>
    </row>
    <row r="63" spans="2:92" x14ac:dyDescent="0.25">
      <c r="B63" s="1" t="str">
        <f>IF(ISBLANK(PriceData!A61),"",PriceData!A61)</f>
        <v/>
      </c>
      <c r="C63" s="1" t="str">
        <f>IF(ISBLANK(PriceData!C61),"",PriceData!C61)</f>
        <v/>
      </c>
      <c r="D63" s="1" t="str">
        <f>IF(ISBLANK(PriceData!D61),"",PriceData!D61)</f>
        <v/>
      </c>
      <c r="E63" s="1" t="str">
        <f>IF(ISBLANK(PriceData!E61),"",PriceData!E61)</f>
        <v/>
      </c>
      <c r="F63" s="1" t="str">
        <f>IF(ISBLANK(PriceData!F61),"",PriceData!F61)</f>
        <v/>
      </c>
      <c r="G63" s="1" t="str">
        <f>IF(ISBLANK(PriceData!G61),"",PriceData!G61)</f>
        <v/>
      </c>
      <c r="H63" s="1" t="str">
        <f>IF(ISBLANK(PriceData!H61),"",PriceData!H61)</f>
        <v/>
      </c>
      <c r="I63" s="1" t="str">
        <f>IF(ISBLANK(PriceData!I61),"",PriceData!I61)</f>
        <v/>
      </c>
      <c r="J63" s="1" t="str">
        <f>IF(ISBLANK(PriceData!J61),"",PriceData!J61)</f>
        <v/>
      </c>
      <c r="K63" s="1" t="str">
        <f>IF(ISBLANK(PriceData!K61),"",PriceData!K61)</f>
        <v/>
      </c>
      <c r="L63" s="1" t="str">
        <f>IF(ISBLANK(PriceData!L61),"",PriceData!L61)</f>
        <v/>
      </c>
      <c r="M63" s="1" t="str">
        <f>IF(ISBLANK(PriceData!M61),"",PriceData!M61)</f>
        <v/>
      </c>
      <c r="N63" s="1" t="str">
        <f>IF(ISBLANK(PriceData!N61),"",PriceData!N61)</f>
        <v/>
      </c>
      <c r="O63" s="1" t="str">
        <f>IF(ISBLANK(PriceData!O61),"",PriceData!O61)</f>
        <v/>
      </c>
      <c r="P63" s="1" t="str">
        <f>IF(ISBLANK(PriceData!P61),"",PriceData!P61)</f>
        <v/>
      </c>
      <c r="Q63" s="1" t="str">
        <f>IF(ISBLANK(PriceData!Q61),"",PriceData!Q61)</f>
        <v/>
      </c>
      <c r="R63" s="1" t="str">
        <f>IF(ISBLANK(PriceData!R61),"",PriceData!R61)</f>
        <v/>
      </c>
      <c r="S63" s="1" t="str">
        <f>IF(ISBLANK(PriceData!S61),"",PriceData!S61)</f>
        <v/>
      </c>
      <c r="T63" s="1" t="str">
        <f>IF(ISBLANK(PriceData!T61),"",PriceData!T61)</f>
        <v/>
      </c>
      <c r="U63" s="1" t="str">
        <f>IF(ISBLANK(PriceData!U61),"",PriceData!U61)</f>
        <v/>
      </c>
      <c r="V63" s="1" t="str">
        <f>IF(ISBLANK(PriceData!V61),"",PriceData!V61)</f>
        <v/>
      </c>
      <c r="W63" s="1" t="str">
        <f>IF(ISBLANK(PriceData!W61),"",PriceData!W61)</f>
        <v/>
      </c>
      <c r="X63" s="1" t="str">
        <f>IF(ISBLANK(PriceData!X61),"",PriceData!X61)</f>
        <v/>
      </c>
      <c r="Y63" s="1" t="str">
        <f>IF(ISBLANK(PriceData!Y61),"",PriceData!Y61)</f>
        <v/>
      </c>
      <c r="Z63" s="1" t="str">
        <f>IF(ISBLANK(PriceData!Z61),"",PriceData!Z61)</f>
        <v/>
      </c>
      <c r="AA63" s="1" t="str">
        <f>IF(ISBLANK(PriceData!AA61),"",PriceData!AA61)</f>
        <v/>
      </c>
      <c r="AB63" s="1" t="str">
        <f>IF(ISBLANK(PriceData!AB61),"",PriceData!AB61)</f>
        <v/>
      </c>
      <c r="AC63" s="1" t="str">
        <f>IF(ISBLANK(PriceData!AC61),"",PriceData!AC61)</f>
        <v/>
      </c>
      <c r="AD63" s="1" t="str">
        <f>IF(ISBLANK(PriceData!AD61),"",PriceData!AD61)</f>
        <v/>
      </c>
      <c r="AE63" s="1" t="str">
        <f>IF(ISBLANK(PriceData!AE61),"",PriceData!AE61)</f>
        <v/>
      </c>
      <c r="AF63" s="1" t="str">
        <f>IF(ISBLANK(PriceData!AF61),"",PriceData!AF61)</f>
        <v/>
      </c>
      <c r="AG63" s="1" t="str">
        <f>IF(ISBLANK(PriceData!AG61),"",PriceData!AG61)</f>
        <v/>
      </c>
      <c r="AH63" s="1" t="str">
        <f>IF(ISBLANK(PriceData!AH61),"",PriceData!AH61)</f>
        <v/>
      </c>
      <c r="AI63" s="1" t="str">
        <f>IF(ISBLANK(PriceData!AI61),"",PriceData!AI61)</f>
        <v/>
      </c>
      <c r="AJ63" s="1" t="str">
        <f>IF(ISBLANK(PriceData!AJ61),"",PriceData!AJ61)</f>
        <v/>
      </c>
      <c r="AK63" s="1" t="str">
        <f>IF(ISBLANK(PriceData!AK61),"",PriceData!AK61)</f>
        <v/>
      </c>
      <c r="AL63" s="1" t="str">
        <f>IF(ISBLANK(PriceData!AL61),"",PriceData!AL61)</f>
        <v/>
      </c>
      <c r="AM63" s="1" t="str">
        <f>IF(ISBLANK(PriceData!AM61),"",PriceData!AM61)</f>
        <v/>
      </c>
      <c r="AN63" s="1" t="str">
        <f>IF(ISBLANK(PriceData!AN61),"",PriceData!AN61)</f>
        <v/>
      </c>
      <c r="AO63" s="1" t="str">
        <f>IF(ISBLANK(PriceData!AO61),"",PriceData!AO61)</f>
        <v/>
      </c>
      <c r="AP63" s="1" t="str">
        <f>IF(ISBLANK(PriceData!AP61),"",PriceData!AP61)</f>
        <v/>
      </c>
      <c r="AQ63" s="1" t="str">
        <f>IF(ISBLANK(PriceData!AQ61),"",PriceData!AQ61)</f>
        <v/>
      </c>
      <c r="AR63" s="1" t="str">
        <f>IF(ISBLANK(PriceData!AR61),"",PriceData!AR61)</f>
        <v/>
      </c>
      <c r="AS63" s="1" t="str">
        <f>IF(ISBLANK(PriceData!AS61),"",PriceData!AS61)</f>
        <v/>
      </c>
      <c r="AT63" s="1" t="str">
        <f>IF(ISBLANK(PriceData!AT61),"",PriceData!AT61)</f>
        <v/>
      </c>
      <c r="AU63" s="1" t="str">
        <f>IF(ISBLANK(PriceData!AU61),"",PriceData!AU61)</f>
        <v/>
      </c>
      <c r="AV63" s="1" t="str">
        <f>IF(ISBLANK(PriceData!AV61),"",PriceData!AV61)</f>
        <v/>
      </c>
      <c r="AW63" s="1" t="str">
        <f>IF(ISBLANK(PriceData!AW61),"",PriceData!AW61)</f>
        <v/>
      </c>
      <c r="AX63" s="1" t="str">
        <f>IF(ISBLANK(PriceData!AX61),"",PriceData!AX61)</f>
        <v/>
      </c>
      <c r="AY63" s="1" t="str">
        <f>IF(ISBLANK(PriceData!AY61),"",PriceData!AY61)</f>
        <v/>
      </c>
      <c r="AZ63" s="1" t="str">
        <f>IF(ISBLANK(PriceData!AZ61),"",PriceData!AZ61)</f>
        <v/>
      </c>
      <c r="BA63" s="1" t="str">
        <f>IF(ISBLANK(PriceData!BA61),"",PriceData!BA61)</f>
        <v/>
      </c>
      <c r="BB63" s="1" t="str">
        <f>IF(ISBLANK(PriceData!BB61),"",PriceData!BB61)</f>
        <v/>
      </c>
      <c r="BC63" s="1" t="str">
        <f>IF(ISBLANK(PriceData!BC61),"",PriceData!BC61)</f>
        <v/>
      </c>
      <c r="BD63" s="1" t="str">
        <f>IF(ISBLANK(PriceData!BD61),"",PriceData!BD61)</f>
        <v/>
      </c>
      <c r="BE63" s="1" t="str">
        <f>IF(ISBLANK(PriceData!BE61),"",PriceData!BE61)</f>
        <v/>
      </c>
      <c r="BF63" s="1" t="str">
        <f>IF(ISBLANK(PriceData!BF61),"",PriceData!BF61)</f>
        <v/>
      </c>
      <c r="BG63" s="1" t="str">
        <f>IF(ISBLANK(PriceData!BG61),"",PriceData!BG61)</f>
        <v/>
      </c>
      <c r="BH63" s="1" t="str">
        <f>IF(ISBLANK(PriceData!BH61),"",PriceData!BH61)</f>
        <v/>
      </c>
      <c r="BI63" s="1" t="str">
        <f>IF(ISBLANK(PriceData!BI61),"",PriceData!BI61)</f>
        <v/>
      </c>
      <c r="BJ63" s="1" t="str">
        <f>IF(ISBLANK(PriceData!BJ61),"",PriceData!BJ61)</f>
        <v/>
      </c>
      <c r="BK63" s="1" t="str">
        <f>IF(ISBLANK(PriceData!BK61),"",PriceData!BK61)</f>
        <v/>
      </c>
      <c r="BL63" s="1" t="str">
        <f>IF(ISBLANK(PriceData!BL61),"",PriceData!BL61)</f>
        <v/>
      </c>
      <c r="BM63" s="1" t="str">
        <f>IF(ISBLANK(PriceData!BM61),"",PriceData!BM61)</f>
        <v/>
      </c>
      <c r="BN63" s="1" t="str">
        <f>IF(ISBLANK(PriceData!BN61),"",PriceData!BN61)</f>
        <v/>
      </c>
      <c r="BO63" s="1" t="str">
        <f>IF(ISBLANK(PriceData!BO61),"",PriceData!BO61)</f>
        <v/>
      </c>
      <c r="BP63" s="1" t="str">
        <f>IF(ISBLANK(PriceData!BP61),"",PriceData!BP61)</f>
        <v/>
      </c>
      <c r="BQ63" s="1" t="str">
        <f>IF(ISBLANK(PriceData!BQ61),"",PriceData!BQ61)</f>
        <v/>
      </c>
      <c r="BR63" s="1" t="str">
        <f>IF(ISBLANK(PriceData!BR61),"",PriceData!BR61)</f>
        <v/>
      </c>
      <c r="BS63" s="1" t="str">
        <f>IF(ISBLANK(PriceData!BS61),"",PriceData!BS61)</f>
        <v/>
      </c>
      <c r="BT63" s="1" t="str">
        <f>IF(ISBLANK(PriceData!BT61),"",PriceData!BT61)</f>
        <v/>
      </c>
      <c r="BU63" s="1" t="str">
        <f>IF(ISBLANK(PriceData!BU61),"",PriceData!BU61)</f>
        <v/>
      </c>
      <c r="BV63" s="1" t="str">
        <f>IF(ISBLANK(PriceData!BV61),"",PriceData!BV61)</f>
        <v/>
      </c>
      <c r="BW63" s="1" t="str">
        <f>IF(ISBLANK(PriceData!BW61),"",PriceData!BW61)</f>
        <v/>
      </c>
      <c r="BX63" s="1" t="str">
        <f>IF(ISBLANK(PriceData!BX61),"",PriceData!BX61)</f>
        <v/>
      </c>
      <c r="BY63" s="1" t="str">
        <f>IF(ISBLANK(PriceData!BY61),"",PriceData!BY61)</f>
        <v/>
      </c>
      <c r="BZ63" s="1" t="str">
        <f>IF(ISBLANK(PriceData!BZ61),"",PriceData!BZ61)</f>
        <v/>
      </c>
      <c r="CA63" s="1" t="str">
        <f>IF(ISBLANK(PriceData!CA61),"",PriceData!CA61)</f>
        <v/>
      </c>
      <c r="CB63" s="1" t="str">
        <f>IF(ISBLANK(PriceData!CB61),"",PriceData!CB61)</f>
        <v/>
      </c>
      <c r="CC63" s="1" t="str">
        <f>IF(ISBLANK(PriceData!CC61),"",PriceData!CC61)</f>
        <v/>
      </c>
      <c r="CD63" s="1" t="str">
        <f>IF(ISBLANK(PriceData!CD61),"",PriceData!CD61)</f>
        <v/>
      </c>
      <c r="CE63" s="1" t="str">
        <f>IF(ISBLANK(PriceData!CE61),"",PriceData!CE61)</f>
        <v/>
      </c>
      <c r="CF63" s="1" t="str">
        <f>IF(ISBLANK(PriceData!CF61),"",PriceData!CF61)</f>
        <v/>
      </c>
      <c r="CG63" s="1" t="str">
        <f>IF(ISBLANK(PriceData!CG61),"",PriceData!CG61)</f>
        <v/>
      </c>
      <c r="CH63" s="1" t="str">
        <f>IF(ISBLANK(PriceData!CH61),"",PriceData!CH61)</f>
        <v/>
      </c>
      <c r="CI63" s="1" t="str">
        <f>IF(ISBLANK(PriceData!CI61),"",PriceData!CI61)</f>
        <v/>
      </c>
      <c r="CJ63" s="1" t="str">
        <f>IF(ISBLANK(PriceData!CJ61),"",PriceData!CJ61)</f>
        <v/>
      </c>
      <c r="CK63" s="1" t="str">
        <f>IF(ISBLANK(PriceData!CK61),"",PriceData!CK61)</f>
        <v/>
      </c>
      <c r="CL63" s="1" t="str">
        <f>IF(ISBLANK(PriceData!CL61),"",PriceData!CL61)</f>
        <v/>
      </c>
      <c r="CM63" s="1" t="str">
        <f>IF(ISBLANK(PriceData!CM61),"",PriceData!CM61)</f>
        <v/>
      </c>
      <c r="CN63" s="1" t="str">
        <f>IF(ISBLANK(PriceData!CN61),"",PriceData!CN61)</f>
        <v/>
      </c>
    </row>
    <row r="64" spans="2:92" x14ac:dyDescent="0.25">
      <c r="B64" s="1" t="str">
        <f>IF(ISBLANK(PriceData!A62),"",PriceData!A62)</f>
        <v/>
      </c>
      <c r="C64" s="1" t="str">
        <f>IF(ISBLANK(PriceData!C62),"",PriceData!C62)</f>
        <v/>
      </c>
      <c r="D64" s="1" t="str">
        <f>IF(ISBLANK(PriceData!D62),"",PriceData!D62)</f>
        <v/>
      </c>
      <c r="E64" s="1" t="str">
        <f>IF(ISBLANK(PriceData!E62),"",PriceData!E62)</f>
        <v/>
      </c>
      <c r="F64" s="1" t="str">
        <f>IF(ISBLANK(PriceData!F62),"",PriceData!F62)</f>
        <v/>
      </c>
      <c r="G64" s="1" t="str">
        <f>IF(ISBLANK(PriceData!G62),"",PriceData!G62)</f>
        <v/>
      </c>
      <c r="H64" s="1" t="str">
        <f>IF(ISBLANK(PriceData!H62),"",PriceData!H62)</f>
        <v/>
      </c>
      <c r="I64" s="1" t="str">
        <f>IF(ISBLANK(PriceData!I62),"",PriceData!I62)</f>
        <v/>
      </c>
      <c r="J64" s="1" t="str">
        <f>IF(ISBLANK(PriceData!J62),"",PriceData!J62)</f>
        <v/>
      </c>
      <c r="K64" s="1" t="str">
        <f>IF(ISBLANK(PriceData!K62),"",PriceData!K62)</f>
        <v/>
      </c>
      <c r="L64" s="1" t="str">
        <f>IF(ISBLANK(PriceData!L62),"",PriceData!L62)</f>
        <v/>
      </c>
      <c r="M64" s="1" t="str">
        <f>IF(ISBLANK(PriceData!M62),"",PriceData!M62)</f>
        <v/>
      </c>
      <c r="N64" s="1" t="str">
        <f>IF(ISBLANK(PriceData!N62),"",PriceData!N62)</f>
        <v/>
      </c>
      <c r="O64" s="1" t="str">
        <f>IF(ISBLANK(PriceData!O62),"",PriceData!O62)</f>
        <v/>
      </c>
      <c r="P64" s="1" t="str">
        <f>IF(ISBLANK(PriceData!P62),"",PriceData!P62)</f>
        <v/>
      </c>
      <c r="Q64" s="1" t="str">
        <f>IF(ISBLANK(PriceData!Q62),"",PriceData!Q62)</f>
        <v/>
      </c>
      <c r="R64" s="1" t="str">
        <f>IF(ISBLANK(PriceData!R62),"",PriceData!R62)</f>
        <v/>
      </c>
      <c r="S64" s="1" t="str">
        <f>IF(ISBLANK(PriceData!S62),"",PriceData!S62)</f>
        <v/>
      </c>
      <c r="T64" s="1" t="str">
        <f>IF(ISBLANK(PriceData!T62),"",PriceData!T62)</f>
        <v/>
      </c>
      <c r="U64" s="1" t="str">
        <f>IF(ISBLANK(PriceData!U62),"",PriceData!U62)</f>
        <v/>
      </c>
      <c r="V64" s="1" t="str">
        <f>IF(ISBLANK(PriceData!V62),"",PriceData!V62)</f>
        <v/>
      </c>
      <c r="W64" s="1" t="str">
        <f>IF(ISBLANK(PriceData!W62),"",PriceData!W62)</f>
        <v/>
      </c>
      <c r="X64" s="1" t="str">
        <f>IF(ISBLANK(PriceData!X62),"",PriceData!X62)</f>
        <v/>
      </c>
      <c r="Y64" s="1" t="str">
        <f>IF(ISBLANK(PriceData!Y62),"",PriceData!Y62)</f>
        <v/>
      </c>
      <c r="Z64" s="1" t="str">
        <f>IF(ISBLANK(PriceData!Z62),"",PriceData!Z62)</f>
        <v/>
      </c>
      <c r="AA64" s="1" t="str">
        <f>IF(ISBLANK(PriceData!AA62),"",PriceData!AA62)</f>
        <v/>
      </c>
      <c r="AB64" s="1" t="str">
        <f>IF(ISBLANK(PriceData!AB62),"",PriceData!AB62)</f>
        <v/>
      </c>
      <c r="AC64" s="1" t="str">
        <f>IF(ISBLANK(PriceData!AC62),"",PriceData!AC62)</f>
        <v/>
      </c>
      <c r="AD64" s="1" t="str">
        <f>IF(ISBLANK(PriceData!AD62),"",PriceData!AD62)</f>
        <v/>
      </c>
      <c r="AE64" s="1" t="str">
        <f>IF(ISBLANK(PriceData!AE62),"",PriceData!AE62)</f>
        <v/>
      </c>
      <c r="AF64" s="1" t="str">
        <f>IF(ISBLANK(PriceData!AF62),"",PriceData!AF62)</f>
        <v/>
      </c>
      <c r="AG64" s="1" t="str">
        <f>IF(ISBLANK(PriceData!AG62),"",PriceData!AG62)</f>
        <v/>
      </c>
      <c r="AH64" s="1" t="str">
        <f>IF(ISBLANK(PriceData!AH62),"",PriceData!AH62)</f>
        <v/>
      </c>
      <c r="AI64" s="1" t="str">
        <f>IF(ISBLANK(PriceData!AI62),"",PriceData!AI62)</f>
        <v/>
      </c>
      <c r="AJ64" s="1" t="str">
        <f>IF(ISBLANK(PriceData!AJ62),"",PriceData!AJ62)</f>
        <v/>
      </c>
      <c r="AK64" s="1" t="str">
        <f>IF(ISBLANK(PriceData!AK62),"",PriceData!AK62)</f>
        <v/>
      </c>
      <c r="AL64" s="1" t="str">
        <f>IF(ISBLANK(PriceData!AL62),"",PriceData!AL62)</f>
        <v/>
      </c>
      <c r="AM64" s="1" t="str">
        <f>IF(ISBLANK(PriceData!AM62),"",PriceData!AM62)</f>
        <v/>
      </c>
      <c r="AN64" s="1" t="str">
        <f>IF(ISBLANK(PriceData!AN62),"",PriceData!AN62)</f>
        <v/>
      </c>
      <c r="AO64" s="1" t="str">
        <f>IF(ISBLANK(PriceData!AO62),"",PriceData!AO62)</f>
        <v/>
      </c>
      <c r="AP64" s="1" t="str">
        <f>IF(ISBLANK(PriceData!AP62),"",PriceData!AP62)</f>
        <v/>
      </c>
      <c r="AQ64" s="1" t="str">
        <f>IF(ISBLANK(PriceData!AQ62),"",PriceData!AQ62)</f>
        <v/>
      </c>
      <c r="AR64" s="1" t="str">
        <f>IF(ISBLANK(PriceData!AR62),"",PriceData!AR62)</f>
        <v/>
      </c>
      <c r="AS64" s="1" t="str">
        <f>IF(ISBLANK(PriceData!AS62),"",PriceData!AS62)</f>
        <v/>
      </c>
      <c r="AT64" s="1" t="str">
        <f>IF(ISBLANK(PriceData!AT62),"",PriceData!AT62)</f>
        <v/>
      </c>
      <c r="AU64" s="1" t="str">
        <f>IF(ISBLANK(PriceData!AU62),"",PriceData!AU62)</f>
        <v/>
      </c>
      <c r="AV64" s="1" t="str">
        <f>IF(ISBLANK(PriceData!AV62),"",PriceData!AV62)</f>
        <v/>
      </c>
      <c r="AW64" s="1" t="str">
        <f>IF(ISBLANK(PriceData!AW62),"",PriceData!AW62)</f>
        <v/>
      </c>
      <c r="AX64" s="1" t="str">
        <f>IF(ISBLANK(PriceData!AX62),"",PriceData!AX62)</f>
        <v/>
      </c>
      <c r="AY64" s="1" t="str">
        <f>IF(ISBLANK(PriceData!AY62),"",PriceData!AY62)</f>
        <v/>
      </c>
      <c r="AZ64" s="1" t="str">
        <f>IF(ISBLANK(PriceData!AZ62),"",PriceData!AZ62)</f>
        <v/>
      </c>
      <c r="BA64" s="1" t="str">
        <f>IF(ISBLANK(PriceData!BA62),"",PriceData!BA62)</f>
        <v/>
      </c>
      <c r="BB64" s="1" t="str">
        <f>IF(ISBLANK(PriceData!BB62),"",PriceData!BB62)</f>
        <v/>
      </c>
      <c r="BC64" s="1" t="str">
        <f>IF(ISBLANK(PriceData!BC62),"",PriceData!BC62)</f>
        <v/>
      </c>
      <c r="BD64" s="1" t="str">
        <f>IF(ISBLANK(PriceData!BD62),"",PriceData!BD62)</f>
        <v/>
      </c>
      <c r="BE64" s="1" t="str">
        <f>IF(ISBLANK(PriceData!BE62),"",PriceData!BE62)</f>
        <v/>
      </c>
      <c r="BF64" s="1" t="str">
        <f>IF(ISBLANK(PriceData!BF62),"",PriceData!BF62)</f>
        <v/>
      </c>
      <c r="BG64" s="1" t="str">
        <f>IF(ISBLANK(PriceData!BG62),"",PriceData!BG62)</f>
        <v/>
      </c>
      <c r="BH64" s="1" t="str">
        <f>IF(ISBLANK(PriceData!BH62),"",PriceData!BH62)</f>
        <v/>
      </c>
      <c r="BI64" s="1" t="str">
        <f>IF(ISBLANK(PriceData!BI62),"",PriceData!BI62)</f>
        <v/>
      </c>
      <c r="BJ64" s="1" t="str">
        <f>IF(ISBLANK(PriceData!BJ62),"",PriceData!BJ62)</f>
        <v/>
      </c>
      <c r="BK64" s="1" t="str">
        <f>IF(ISBLANK(PriceData!BK62),"",PriceData!BK62)</f>
        <v/>
      </c>
      <c r="BL64" s="1" t="str">
        <f>IF(ISBLANK(PriceData!BL62),"",PriceData!BL62)</f>
        <v/>
      </c>
      <c r="BM64" s="1" t="str">
        <f>IF(ISBLANK(PriceData!BM62),"",PriceData!BM62)</f>
        <v/>
      </c>
      <c r="BN64" s="1" t="str">
        <f>IF(ISBLANK(PriceData!BN62),"",PriceData!BN62)</f>
        <v/>
      </c>
      <c r="BO64" s="1" t="str">
        <f>IF(ISBLANK(PriceData!BO62),"",PriceData!BO62)</f>
        <v/>
      </c>
      <c r="BP64" s="1" t="str">
        <f>IF(ISBLANK(PriceData!BP62),"",PriceData!BP62)</f>
        <v/>
      </c>
      <c r="BQ64" s="1" t="str">
        <f>IF(ISBLANK(PriceData!BQ62),"",PriceData!BQ62)</f>
        <v/>
      </c>
      <c r="BR64" s="1" t="str">
        <f>IF(ISBLANK(PriceData!BR62),"",PriceData!BR62)</f>
        <v/>
      </c>
      <c r="BS64" s="1" t="str">
        <f>IF(ISBLANK(PriceData!BS62),"",PriceData!BS62)</f>
        <v/>
      </c>
      <c r="BT64" s="1" t="str">
        <f>IF(ISBLANK(PriceData!BT62),"",PriceData!BT62)</f>
        <v/>
      </c>
      <c r="BU64" s="1" t="str">
        <f>IF(ISBLANK(PriceData!BU62),"",PriceData!BU62)</f>
        <v/>
      </c>
      <c r="BV64" s="1" t="str">
        <f>IF(ISBLANK(PriceData!BV62),"",PriceData!BV62)</f>
        <v/>
      </c>
      <c r="BW64" s="1" t="str">
        <f>IF(ISBLANK(PriceData!BW62),"",PriceData!BW62)</f>
        <v/>
      </c>
      <c r="BX64" s="1" t="str">
        <f>IF(ISBLANK(PriceData!BX62),"",PriceData!BX62)</f>
        <v/>
      </c>
      <c r="BY64" s="1" t="str">
        <f>IF(ISBLANK(PriceData!BY62),"",PriceData!BY62)</f>
        <v/>
      </c>
      <c r="BZ64" s="1" t="str">
        <f>IF(ISBLANK(PriceData!BZ62),"",PriceData!BZ62)</f>
        <v/>
      </c>
      <c r="CA64" s="1" t="str">
        <f>IF(ISBLANK(PriceData!CA62),"",PriceData!CA62)</f>
        <v/>
      </c>
      <c r="CB64" s="1" t="str">
        <f>IF(ISBLANK(PriceData!CB62),"",PriceData!CB62)</f>
        <v/>
      </c>
      <c r="CC64" s="1" t="str">
        <f>IF(ISBLANK(PriceData!CC62),"",PriceData!CC62)</f>
        <v/>
      </c>
      <c r="CD64" s="1" t="str">
        <f>IF(ISBLANK(PriceData!CD62),"",PriceData!CD62)</f>
        <v/>
      </c>
      <c r="CE64" s="1" t="str">
        <f>IF(ISBLANK(PriceData!CE62),"",PriceData!CE62)</f>
        <v/>
      </c>
      <c r="CF64" s="1" t="str">
        <f>IF(ISBLANK(PriceData!CF62),"",PriceData!CF62)</f>
        <v/>
      </c>
      <c r="CG64" s="1" t="str">
        <f>IF(ISBLANK(PriceData!CG62),"",PriceData!CG62)</f>
        <v/>
      </c>
      <c r="CH64" s="1" t="str">
        <f>IF(ISBLANK(PriceData!CH62),"",PriceData!CH62)</f>
        <v/>
      </c>
      <c r="CI64" s="1" t="str">
        <f>IF(ISBLANK(PriceData!CI62),"",PriceData!CI62)</f>
        <v/>
      </c>
      <c r="CJ64" s="1" t="str">
        <f>IF(ISBLANK(PriceData!CJ62),"",PriceData!CJ62)</f>
        <v/>
      </c>
      <c r="CK64" s="1" t="str">
        <f>IF(ISBLANK(PriceData!CK62),"",PriceData!CK62)</f>
        <v/>
      </c>
      <c r="CL64" s="1" t="str">
        <f>IF(ISBLANK(PriceData!CL62),"",PriceData!CL62)</f>
        <v/>
      </c>
      <c r="CM64" s="1" t="str">
        <f>IF(ISBLANK(PriceData!CM62),"",PriceData!CM62)</f>
        <v/>
      </c>
      <c r="CN64" s="1" t="str">
        <f>IF(ISBLANK(PriceData!CN62),"",PriceData!CN62)</f>
        <v/>
      </c>
    </row>
    <row r="65" spans="2:92" x14ac:dyDescent="0.25">
      <c r="B65" s="1" t="str">
        <f>IF(ISBLANK(PriceData!A63),"",PriceData!A63)</f>
        <v/>
      </c>
      <c r="C65" s="1" t="str">
        <f>IF(ISBLANK(PriceData!C63),"",PriceData!C63)</f>
        <v/>
      </c>
      <c r="D65" s="1" t="str">
        <f>IF(ISBLANK(PriceData!D63),"",PriceData!D63)</f>
        <v/>
      </c>
      <c r="E65" s="1" t="str">
        <f>IF(ISBLANK(PriceData!E63),"",PriceData!E63)</f>
        <v/>
      </c>
      <c r="F65" s="1" t="str">
        <f>IF(ISBLANK(PriceData!F63),"",PriceData!F63)</f>
        <v/>
      </c>
      <c r="G65" s="1" t="str">
        <f>IF(ISBLANK(PriceData!G63),"",PriceData!G63)</f>
        <v/>
      </c>
      <c r="H65" s="1" t="str">
        <f>IF(ISBLANK(PriceData!H63),"",PriceData!H63)</f>
        <v/>
      </c>
      <c r="I65" s="1" t="str">
        <f>IF(ISBLANK(PriceData!I63),"",PriceData!I63)</f>
        <v/>
      </c>
      <c r="J65" s="1" t="str">
        <f>IF(ISBLANK(PriceData!J63),"",PriceData!J63)</f>
        <v/>
      </c>
      <c r="K65" s="1" t="str">
        <f>IF(ISBLANK(PriceData!K63),"",PriceData!K63)</f>
        <v/>
      </c>
      <c r="L65" s="1" t="str">
        <f>IF(ISBLANK(PriceData!L63),"",PriceData!L63)</f>
        <v/>
      </c>
      <c r="M65" s="1" t="str">
        <f>IF(ISBLANK(PriceData!M63),"",PriceData!M63)</f>
        <v/>
      </c>
      <c r="N65" s="1" t="str">
        <f>IF(ISBLANK(PriceData!N63),"",PriceData!N63)</f>
        <v/>
      </c>
      <c r="O65" s="1" t="str">
        <f>IF(ISBLANK(PriceData!O63),"",PriceData!O63)</f>
        <v/>
      </c>
      <c r="P65" s="1" t="str">
        <f>IF(ISBLANK(PriceData!P63),"",PriceData!P63)</f>
        <v/>
      </c>
      <c r="Q65" s="1" t="str">
        <f>IF(ISBLANK(PriceData!Q63),"",PriceData!Q63)</f>
        <v/>
      </c>
      <c r="R65" s="1" t="str">
        <f>IF(ISBLANK(PriceData!R63),"",PriceData!R63)</f>
        <v/>
      </c>
      <c r="S65" s="1" t="str">
        <f>IF(ISBLANK(PriceData!S63),"",PriceData!S63)</f>
        <v/>
      </c>
      <c r="T65" s="1" t="str">
        <f>IF(ISBLANK(PriceData!T63),"",PriceData!T63)</f>
        <v/>
      </c>
      <c r="U65" s="1" t="str">
        <f>IF(ISBLANK(PriceData!U63),"",PriceData!U63)</f>
        <v/>
      </c>
      <c r="V65" s="1" t="str">
        <f>IF(ISBLANK(PriceData!V63),"",PriceData!V63)</f>
        <v/>
      </c>
      <c r="W65" s="1" t="str">
        <f>IF(ISBLANK(PriceData!W63),"",PriceData!W63)</f>
        <v/>
      </c>
      <c r="X65" s="1" t="str">
        <f>IF(ISBLANK(PriceData!X63),"",PriceData!X63)</f>
        <v/>
      </c>
      <c r="Y65" s="1" t="str">
        <f>IF(ISBLANK(PriceData!Y63),"",PriceData!Y63)</f>
        <v/>
      </c>
      <c r="Z65" s="1" t="str">
        <f>IF(ISBLANK(PriceData!Z63),"",PriceData!Z63)</f>
        <v/>
      </c>
      <c r="AA65" s="1" t="str">
        <f>IF(ISBLANK(PriceData!AA63),"",PriceData!AA63)</f>
        <v/>
      </c>
      <c r="AB65" s="1" t="str">
        <f>IF(ISBLANK(PriceData!AB63),"",PriceData!AB63)</f>
        <v/>
      </c>
      <c r="AC65" s="1" t="str">
        <f>IF(ISBLANK(PriceData!AC63),"",PriceData!AC63)</f>
        <v/>
      </c>
      <c r="AD65" s="1" t="str">
        <f>IF(ISBLANK(PriceData!AD63),"",PriceData!AD63)</f>
        <v/>
      </c>
      <c r="AE65" s="1" t="str">
        <f>IF(ISBLANK(PriceData!AE63),"",PriceData!AE63)</f>
        <v/>
      </c>
      <c r="AF65" s="1" t="str">
        <f>IF(ISBLANK(PriceData!AF63),"",PriceData!AF63)</f>
        <v/>
      </c>
      <c r="AG65" s="1" t="str">
        <f>IF(ISBLANK(PriceData!AG63),"",PriceData!AG63)</f>
        <v/>
      </c>
      <c r="AH65" s="1" t="str">
        <f>IF(ISBLANK(PriceData!AH63),"",PriceData!AH63)</f>
        <v/>
      </c>
      <c r="AI65" s="1" t="str">
        <f>IF(ISBLANK(PriceData!AI63),"",PriceData!AI63)</f>
        <v/>
      </c>
      <c r="AJ65" s="1" t="str">
        <f>IF(ISBLANK(PriceData!AJ63),"",PriceData!AJ63)</f>
        <v/>
      </c>
      <c r="AK65" s="1" t="str">
        <f>IF(ISBLANK(PriceData!AK63),"",PriceData!AK63)</f>
        <v/>
      </c>
      <c r="AL65" s="1" t="str">
        <f>IF(ISBLANK(PriceData!AL63),"",PriceData!AL63)</f>
        <v/>
      </c>
      <c r="AM65" s="1" t="str">
        <f>IF(ISBLANK(PriceData!AM63),"",PriceData!AM63)</f>
        <v/>
      </c>
      <c r="AN65" s="1" t="str">
        <f>IF(ISBLANK(PriceData!AN63),"",PriceData!AN63)</f>
        <v/>
      </c>
      <c r="AO65" s="1" t="str">
        <f>IF(ISBLANK(PriceData!AO63),"",PriceData!AO63)</f>
        <v/>
      </c>
      <c r="AP65" s="1" t="str">
        <f>IF(ISBLANK(PriceData!AP63),"",PriceData!AP63)</f>
        <v/>
      </c>
      <c r="AQ65" s="1" t="str">
        <f>IF(ISBLANK(PriceData!AQ63),"",PriceData!AQ63)</f>
        <v/>
      </c>
      <c r="AR65" s="1" t="str">
        <f>IF(ISBLANK(PriceData!AR63),"",PriceData!AR63)</f>
        <v/>
      </c>
      <c r="AS65" s="1" t="str">
        <f>IF(ISBLANK(PriceData!AS63),"",PriceData!AS63)</f>
        <v/>
      </c>
      <c r="AT65" s="1" t="str">
        <f>IF(ISBLANK(PriceData!AT63),"",PriceData!AT63)</f>
        <v/>
      </c>
      <c r="AU65" s="1" t="str">
        <f>IF(ISBLANK(PriceData!AU63),"",PriceData!AU63)</f>
        <v/>
      </c>
      <c r="AV65" s="1" t="str">
        <f>IF(ISBLANK(PriceData!AV63),"",PriceData!AV63)</f>
        <v/>
      </c>
      <c r="AW65" s="1" t="str">
        <f>IF(ISBLANK(PriceData!AW63),"",PriceData!AW63)</f>
        <v/>
      </c>
      <c r="AX65" s="1" t="str">
        <f>IF(ISBLANK(PriceData!AX63),"",PriceData!AX63)</f>
        <v/>
      </c>
      <c r="AY65" s="1" t="str">
        <f>IF(ISBLANK(PriceData!AY63),"",PriceData!AY63)</f>
        <v/>
      </c>
      <c r="AZ65" s="1" t="str">
        <f>IF(ISBLANK(PriceData!AZ63),"",PriceData!AZ63)</f>
        <v/>
      </c>
      <c r="BA65" s="1" t="str">
        <f>IF(ISBLANK(PriceData!BA63),"",PriceData!BA63)</f>
        <v/>
      </c>
      <c r="BB65" s="1" t="str">
        <f>IF(ISBLANK(PriceData!BB63),"",PriceData!BB63)</f>
        <v/>
      </c>
      <c r="BC65" s="1" t="str">
        <f>IF(ISBLANK(PriceData!BC63),"",PriceData!BC63)</f>
        <v/>
      </c>
      <c r="BD65" s="1" t="str">
        <f>IF(ISBLANK(PriceData!BD63),"",PriceData!BD63)</f>
        <v/>
      </c>
      <c r="BE65" s="1" t="str">
        <f>IF(ISBLANK(PriceData!BE63),"",PriceData!BE63)</f>
        <v/>
      </c>
      <c r="BF65" s="1" t="str">
        <f>IF(ISBLANK(PriceData!BF63),"",PriceData!BF63)</f>
        <v/>
      </c>
      <c r="BG65" s="1" t="str">
        <f>IF(ISBLANK(PriceData!BG63),"",PriceData!BG63)</f>
        <v/>
      </c>
      <c r="BH65" s="1" t="str">
        <f>IF(ISBLANK(PriceData!BH63),"",PriceData!BH63)</f>
        <v/>
      </c>
      <c r="BI65" s="1" t="str">
        <f>IF(ISBLANK(PriceData!BI63),"",PriceData!BI63)</f>
        <v/>
      </c>
      <c r="BJ65" s="1" t="str">
        <f>IF(ISBLANK(PriceData!BJ63),"",PriceData!BJ63)</f>
        <v/>
      </c>
      <c r="BK65" s="1" t="str">
        <f>IF(ISBLANK(PriceData!BK63),"",PriceData!BK63)</f>
        <v/>
      </c>
      <c r="BL65" s="1" t="str">
        <f>IF(ISBLANK(PriceData!BL63),"",PriceData!BL63)</f>
        <v/>
      </c>
      <c r="BM65" s="1" t="str">
        <f>IF(ISBLANK(PriceData!BM63),"",PriceData!BM63)</f>
        <v/>
      </c>
      <c r="BN65" s="1" t="str">
        <f>IF(ISBLANK(PriceData!BN63),"",PriceData!BN63)</f>
        <v/>
      </c>
      <c r="BO65" s="1" t="str">
        <f>IF(ISBLANK(PriceData!BO63),"",PriceData!BO63)</f>
        <v/>
      </c>
      <c r="BP65" s="1" t="str">
        <f>IF(ISBLANK(PriceData!BP63),"",PriceData!BP63)</f>
        <v/>
      </c>
      <c r="BQ65" s="1" t="str">
        <f>IF(ISBLANK(PriceData!BQ63),"",PriceData!BQ63)</f>
        <v/>
      </c>
      <c r="BR65" s="1" t="str">
        <f>IF(ISBLANK(PriceData!BR63),"",PriceData!BR63)</f>
        <v/>
      </c>
      <c r="BS65" s="1" t="str">
        <f>IF(ISBLANK(PriceData!BS63),"",PriceData!BS63)</f>
        <v/>
      </c>
      <c r="BT65" s="1" t="str">
        <f>IF(ISBLANK(PriceData!BT63),"",PriceData!BT63)</f>
        <v/>
      </c>
      <c r="BU65" s="1" t="str">
        <f>IF(ISBLANK(PriceData!BU63),"",PriceData!BU63)</f>
        <v/>
      </c>
      <c r="BV65" s="1" t="str">
        <f>IF(ISBLANK(PriceData!BV63),"",PriceData!BV63)</f>
        <v/>
      </c>
      <c r="BW65" s="1" t="str">
        <f>IF(ISBLANK(PriceData!BW63),"",PriceData!BW63)</f>
        <v/>
      </c>
      <c r="BX65" s="1" t="str">
        <f>IF(ISBLANK(PriceData!BX63),"",PriceData!BX63)</f>
        <v/>
      </c>
      <c r="BY65" s="1" t="str">
        <f>IF(ISBLANK(PriceData!BY63),"",PriceData!BY63)</f>
        <v/>
      </c>
      <c r="BZ65" s="1" t="str">
        <f>IF(ISBLANK(PriceData!BZ63),"",PriceData!BZ63)</f>
        <v/>
      </c>
      <c r="CA65" s="1" t="str">
        <f>IF(ISBLANK(PriceData!CA63),"",PriceData!CA63)</f>
        <v/>
      </c>
      <c r="CB65" s="1" t="str">
        <f>IF(ISBLANK(PriceData!CB63),"",PriceData!CB63)</f>
        <v/>
      </c>
      <c r="CC65" s="1" t="str">
        <f>IF(ISBLANK(PriceData!CC63),"",PriceData!CC63)</f>
        <v/>
      </c>
      <c r="CD65" s="1" t="str">
        <f>IF(ISBLANK(PriceData!CD63),"",PriceData!CD63)</f>
        <v/>
      </c>
      <c r="CE65" s="1" t="str">
        <f>IF(ISBLANK(PriceData!CE63),"",PriceData!CE63)</f>
        <v/>
      </c>
      <c r="CF65" s="1" t="str">
        <f>IF(ISBLANK(PriceData!CF63),"",PriceData!CF63)</f>
        <v/>
      </c>
      <c r="CG65" s="1" t="str">
        <f>IF(ISBLANK(PriceData!CG63),"",PriceData!CG63)</f>
        <v/>
      </c>
      <c r="CH65" s="1" t="str">
        <f>IF(ISBLANK(PriceData!CH63),"",PriceData!CH63)</f>
        <v/>
      </c>
      <c r="CI65" s="1" t="str">
        <f>IF(ISBLANK(PriceData!CI63),"",PriceData!CI63)</f>
        <v/>
      </c>
      <c r="CJ65" s="1" t="str">
        <f>IF(ISBLANK(PriceData!CJ63),"",PriceData!CJ63)</f>
        <v/>
      </c>
      <c r="CK65" s="1" t="str">
        <f>IF(ISBLANK(PriceData!CK63),"",PriceData!CK63)</f>
        <v/>
      </c>
      <c r="CL65" s="1" t="str">
        <f>IF(ISBLANK(PriceData!CL63),"",PriceData!CL63)</f>
        <v/>
      </c>
      <c r="CM65" s="1" t="str">
        <f>IF(ISBLANK(PriceData!CM63),"",PriceData!CM63)</f>
        <v/>
      </c>
      <c r="CN65" s="1" t="str">
        <f>IF(ISBLANK(PriceData!CN63),"",PriceData!CN63)</f>
        <v/>
      </c>
    </row>
    <row r="66" spans="2:92" x14ac:dyDescent="0.25">
      <c r="B66" s="1" t="str">
        <f>IF(ISBLANK(PriceData!A64),"",PriceData!A64)</f>
        <v/>
      </c>
      <c r="C66" s="1" t="str">
        <f>IF(ISBLANK(PriceData!C64),"",PriceData!C64)</f>
        <v/>
      </c>
      <c r="D66" s="1" t="str">
        <f>IF(ISBLANK(PriceData!D64),"",PriceData!D64)</f>
        <v/>
      </c>
      <c r="E66" s="1" t="str">
        <f>IF(ISBLANK(PriceData!E64),"",PriceData!E64)</f>
        <v/>
      </c>
      <c r="F66" s="1" t="str">
        <f>IF(ISBLANK(PriceData!F64),"",PriceData!F64)</f>
        <v/>
      </c>
      <c r="G66" s="1" t="str">
        <f>IF(ISBLANK(PriceData!G64),"",PriceData!G64)</f>
        <v/>
      </c>
      <c r="H66" s="1" t="str">
        <f>IF(ISBLANK(PriceData!H64),"",PriceData!H64)</f>
        <v/>
      </c>
      <c r="I66" s="1" t="str">
        <f>IF(ISBLANK(PriceData!I64),"",PriceData!I64)</f>
        <v/>
      </c>
      <c r="J66" s="1" t="str">
        <f>IF(ISBLANK(PriceData!J64),"",PriceData!J64)</f>
        <v/>
      </c>
      <c r="K66" s="1" t="str">
        <f>IF(ISBLANK(PriceData!K64),"",PriceData!K64)</f>
        <v/>
      </c>
      <c r="L66" s="1" t="str">
        <f>IF(ISBLANK(PriceData!L64),"",PriceData!L64)</f>
        <v/>
      </c>
      <c r="M66" s="1" t="str">
        <f>IF(ISBLANK(PriceData!M64),"",PriceData!M64)</f>
        <v/>
      </c>
      <c r="N66" s="1" t="str">
        <f>IF(ISBLANK(PriceData!N64),"",PriceData!N64)</f>
        <v/>
      </c>
      <c r="O66" s="1" t="str">
        <f>IF(ISBLANK(PriceData!O64),"",PriceData!O64)</f>
        <v/>
      </c>
      <c r="P66" s="1" t="str">
        <f>IF(ISBLANK(PriceData!P64),"",PriceData!P64)</f>
        <v/>
      </c>
      <c r="Q66" s="1" t="str">
        <f>IF(ISBLANK(PriceData!Q64),"",PriceData!Q64)</f>
        <v/>
      </c>
      <c r="R66" s="1" t="str">
        <f>IF(ISBLANK(PriceData!R64),"",PriceData!R64)</f>
        <v/>
      </c>
      <c r="S66" s="1" t="str">
        <f>IF(ISBLANK(PriceData!S64),"",PriceData!S64)</f>
        <v/>
      </c>
      <c r="T66" s="1" t="str">
        <f>IF(ISBLANK(PriceData!T64),"",PriceData!T64)</f>
        <v/>
      </c>
      <c r="U66" s="1" t="str">
        <f>IF(ISBLANK(PriceData!U64),"",PriceData!U64)</f>
        <v/>
      </c>
      <c r="V66" s="1" t="str">
        <f>IF(ISBLANK(PriceData!V64),"",PriceData!V64)</f>
        <v/>
      </c>
      <c r="W66" s="1" t="str">
        <f>IF(ISBLANK(PriceData!W64),"",PriceData!W64)</f>
        <v/>
      </c>
      <c r="X66" s="1" t="str">
        <f>IF(ISBLANK(PriceData!X64),"",PriceData!X64)</f>
        <v/>
      </c>
      <c r="Y66" s="1" t="str">
        <f>IF(ISBLANK(PriceData!Y64),"",PriceData!Y64)</f>
        <v/>
      </c>
      <c r="Z66" s="1" t="str">
        <f>IF(ISBLANK(PriceData!Z64),"",PriceData!Z64)</f>
        <v/>
      </c>
      <c r="AA66" s="1" t="str">
        <f>IF(ISBLANK(PriceData!AA64),"",PriceData!AA64)</f>
        <v/>
      </c>
      <c r="AB66" s="1" t="str">
        <f>IF(ISBLANK(PriceData!AB64),"",PriceData!AB64)</f>
        <v/>
      </c>
      <c r="AC66" s="1" t="str">
        <f>IF(ISBLANK(PriceData!AC64),"",PriceData!AC64)</f>
        <v/>
      </c>
      <c r="AD66" s="1" t="str">
        <f>IF(ISBLANK(PriceData!AD64),"",PriceData!AD64)</f>
        <v/>
      </c>
      <c r="AE66" s="1" t="str">
        <f>IF(ISBLANK(PriceData!AE64),"",PriceData!AE64)</f>
        <v/>
      </c>
      <c r="AF66" s="1" t="str">
        <f>IF(ISBLANK(PriceData!AF64),"",PriceData!AF64)</f>
        <v/>
      </c>
      <c r="AG66" s="1" t="str">
        <f>IF(ISBLANK(PriceData!AG64),"",PriceData!AG64)</f>
        <v/>
      </c>
      <c r="AH66" s="1" t="str">
        <f>IF(ISBLANK(PriceData!AH64),"",PriceData!AH64)</f>
        <v/>
      </c>
      <c r="AI66" s="1" t="str">
        <f>IF(ISBLANK(PriceData!AI64),"",PriceData!AI64)</f>
        <v/>
      </c>
      <c r="AJ66" s="1" t="str">
        <f>IF(ISBLANK(PriceData!AJ64),"",PriceData!AJ64)</f>
        <v/>
      </c>
      <c r="AK66" s="1" t="str">
        <f>IF(ISBLANK(PriceData!AK64),"",PriceData!AK64)</f>
        <v/>
      </c>
      <c r="AL66" s="1" t="str">
        <f>IF(ISBLANK(PriceData!AL64),"",PriceData!AL64)</f>
        <v/>
      </c>
      <c r="AM66" s="1" t="str">
        <f>IF(ISBLANK(PriceData!AM64),"",PriceData!AM64)</f>
        <v/>
      </c>
      <c r="AN66" s="1" t="str">
        <f>IF(ISBLANK(PriceData!AN64),"",PriceData!AN64)</f>
        <v/>
      </c>
      <c r="AO66" s="1" t="str">
        <f>IF(ISBLANK(PriceData!AO64),"",PriceData!AO64)</f>
        <v/>
      </c>
      <c r="AP66" s="1" t="str">
        <f>IF(ISBLANK(PriceData!AP64),"",PriceData!AP64)</f>
        <v/>
      </c>
      <c r="AQ66" s="1" t="str">
        <f>IF(ISBLANK(PriceData!AQ64),"",PriceData!AQ64)</f>
        <v/>
      </c>
      <c r="AR66" s="1" t="str">
        <f>IF(ISBLANK(PriceData!AR64),"",PriceData!AR64)</f>
        <v/>
      </c>
      <c r="AS66" s="1" t="str">
        <f>IF(ISBLANK(PriceData!AS64),"",PriceData!AS64)</f>
        <v/>
      </c>
      <c r="AT66" s="1" t="str">
        <f>IF(ISBLANK(PriceData!AT64),"",PriceData!AT64)</f>
        <v/>
      </c>
      <c r="AU66" s="1" t="str">
        <f>IF(ISBLANK(PriceData!AU64),"",PriceData!AU64)</f>
        <v/>
      </c>
      <c r="AV66" s="1" t="str">
        <f>IF(ISBLANK(PriceData!AV64),"",PriceData!AV64)</f>
        <v/>
      </c>
      <c r="AW66" s="1" t="str">
        <f>IF(ISBLANK(PriceData!AW64),"",PriceData!AW64)</f>
        <v/>
      </c>
      <c r="AX66" s="1" t="str">
        <f>IF(ISBLANK(PriceData!AX64),"",PriceData!AX64)</f>
        <v/>
      </c>
      <c r="AY66" s="1" t="str">
        <f>IF(ISBLANK(PriceData!AY64),"",PriceData!AY64)</f>
        <v/>
      </c>
      <c r="AZ66" s="1" t="str">
        <f>IF(ISBLANK(PriceData!AZ64),"",PriceData!AZ64)</f>
        <v/>
      </c>
      <c r="BA66" s="1" t="str">
        <f>IF(ISBLANK(PriceData!BA64),"",PriceData!BA64)</f>
        <v/>
      </c>
      <c r="BB66" s="1" t="str">
        <f>IF(ISBLANK(PriceData!BB64),"",PriceData!BB64)</f>
        <v/>
      </c>
      <c r="BC66" s="1" t="str">
        <f>IF(ISBLANK(PriceData!BC64),"",PriceData!BC64)</f>
        <v/>
      </c>
      <c r="BD66" s="1" t="str">
        <f>IF(ISBLANK(PriceData!BD64),"",PriceData!BD64)</f>
        <v/>
      </c>
      <c r="BE66" s="1" t="str">
        <f>IF(ISBLANK(PriceData!BE64),"",PriceData!BE64)</f>
        <v/>
      </c>
      <c r="BF66" s="1" t="str">
        <f>IF(ISBLANK(PriceData!BF64),"",PriceData!BF64)</f>
        <v/>
      </c>
      <c r="BG66" s="1" t="str">
        <f>IF(ISBLANK(PriceData!BG64),"",PriceData!BG64)</f>
        <v/>
      </c>
      <c r="BH66" s="1" t="str">
        <f>IF(ISBLANK(PriceData!BH64),"",PriceData!BH64)</f>
        <v/>
      </c>
      <c r="BI66" s="1" t="str">
        <f>IF(ISBLANK(PriceData!BI64),"",PriceData!BI64)</f>
        <v/>
      </c>
      <c r="BJ66" s="1" t="str">
        <f>IF(ISBLANK(PriceData!BJ64),"",PriceData!BJ64)</f>
        <v/>
      </c>
      <c r="BK66" s="1" t="str">
        <f>IF(ISBLANK(PriceData!BK64),"",PriceData!BK64)</f>
        <v/>
      </c>
      <c r="BL66" s="1" t="str">
        <f>IF(ISBLANK(PriceData!BL64),"",PriceData!BL64)</f>
        <v/>
      </c>
      <c r="BM66" s="1" t="str">
        <f>IF(ISBLANK(PriceData!BM64),"",PriceData!BM64)</f>
        <v/>
      </c>
      <c r="BN66" s="1" t="str">
        <f>IF(ISBLANK(PriceData!BN64),"",PriceData!BN64)</f>
        <v/>
      </c>
      <c r="BO66" s="1" t="str">
        <f>IF(ISBLANK(PriceData!BO64),"",PriceData!BO64)</f>
        <v/>
      </c>
      <c r="BP66" s="1" t="str">
        <f>IF(ISBLANK(PriceData!BP64),"",PriceData!BP64)</f>
        <v/>
      </c>
      <c r="BQ66" s="1" t="str">
        <f>IF(ISBLANK(PriceData!BQ64),"",PriceData!BQ64)</f>
        <v/>
      </c>
      <c r="BR66" s="1" t="str">
        <f>IF(ISBLANK(PriceData!BR64),"",PriceData!BR64)</f>
        <v/>
      </c>
      <c r="BS66" s="1" t="str">
        <f>IF(ISBLANK(PriceData!BS64),"",PriceData!BS64)</f>
        <v/>
      </c>
      <c r="BT66" s="1" t="str">
        <f>IF(ISBLANK(PriceData!BT64),"",PriceData!BT64)</f>
        <v/>
      </c>
      <c r="BU66" s="1" t="str">
        <f>IF(ISBLANK(PriceData!BU64),"",PriceData!BU64)</f>
        <v/>
      </c>
      <c r="BV66" s="1" t="str">
        <f>IF(ISBLANK(PriceData!BV64),"",PriceData!BV64)</f>
        <v/>
      </c>
      <c r="BW66" s="1" t="str">
        <f>IF(ISBLANK(PriceData!BW64),"",PriceData!BW64)</f>
        <v/>
      </c>
      <c r="BX66" s="1" t="str">
        <f>IF(ISBLANK(PriceData!BX64),"",PriceData!BX64)</f>
        <v/>
      </c>
      <c r="BY66" s="1" t="str">
        <f>IF(ISBLANK(PriceData!BY64),"",PriceData!BY64)</f>
        <v/>
      </c>
      <c r="BZ66" s="1" t="str">
        <f>IF(ISBLANK(PriceData!BZ64),"",PriceData!BZ64)</f>
        <v/>
      </c>
      <c r="CA66" s="1" t="str">
        <f>IF(ISBLANK(PriceData!CA64),"",PriceData!CA64)</f>
        <v/>
      </c>
      <c r="CB66" s="1" t="str">
        <f>IF(ISBLANK(PriceData!CB64),"",PriceData!CB64)</f>
        <v/>
      </c>
      <c r="CC66" s="1" t="str">
        <f>IF(ISBLANK(PriceData!CC64),"",PriceData!CC64)</f>
        <v/>
      </c>
      <c r="CD66" s="1" t="str">
        <f>IF(ISBLANK(PriceData!CD64),"",PriceData!CD64)</f>
        <v/>
      </c>
      <c r="CE66" s="1" t="str">
        <f>IF(ISBLANK(PriceData!CE64),"",PriceData!CE64)</f>
        <v/>
      </c>
      <c r="CF66" s="1" t="str">
        <f>IF(ISBLANK(PriceData!CF64),"",PriceData!CF64)</f>
        <v/>
      </c>
      <c r="CG66" s="1" t="str">
        <f>IF(ISBLANK(PriceData!CG64),"",PriceData!CG64)</f>
        <v/>
      </c>
      <c r="CH66" s="1" t="str">
        <f>IF(ISBLANK(PriceData!CH64),"",PriceData!CH64)</f>
        <v/>
      </c>
      <c r="CI66" s="1" t="str">
        <f>IF(ISBLANK(PriceData!CI64),"",PriceData!CI64)</f>
        <v/>
      </c>
      <c r="CJ66" s="1" t="str">
        <f>IF(ISBLANK(PriceData!CJ64),"",PriceData!CJ64)</f>
        <v/>
      </c>
      <c r="CK66" s="1" t="str">
        <f>IF(ISBLANK(PriceData!CK64),"",PriceData!CK64)</f>
        <v/>
      </c>
      <c r="CL66" s="1" t="str">
        <f>IF(ISBLANK(PriceData!CL64),"",PriceData!CL64)</f>
        <v/>
      </c>
      <c r="CM66" s="1" t="str">
        <f>IF(ISBLANK(PriceData!CM64),"",PriceData!CM64)</f>
        <v/>
      </c>
      <c r="CN66" s="1" t="str">
        <f>IF(ISBLANK(PriceData!CN64),"",PriceData!CN64)</f>
        <v/>
      </c>
    </row>
    <row r="67" spans="2:92" x14ac:dyDescent="0.25">
      <c r="B67" s="1" t="str">
        <f>IF(ISBLANK(PriceData!A65),"",PriceData!A65)</f>
        <v/>
      </c>
      <c r="C67" s="1" t="str">
        <f>IF(ISBLANK(PriceData!C65),"",PriceData!C65)</f>
        <v/>
      </c>
      <c r="D67" s="1" t="str">
        <f>IF(ISBLANK(PriceData!D65),"",PriceData!D65)</f>
        <v/>
      </c>
      <c r="E67" s="1" t="str">
        <f>IF(ISBLANK(PriceData!E65),"",PriceData!E65)</f>
        <v/>
      </c>
      <c r="F67" s="1" t="str">
        <f>IF(ISBLANK(PriceData!F65),"",PriceData!F65)</f>
        <v/>
      </c>
      <c r="G67" s="1" t="str">
        <f>IF(ISBLANK(PriceData!G65),"",PriceData!G65)</f>
        <v/>
      </c>
      <c r="H67" s="1" t="str">
        <f>IF(ISBLANK(PriceData!H65),"",PriceData!H65)</f>
        <v/>
      </c>
      <c r="I67" s="1" t="str">
        <f>IF(ISBLANK(PriceData!I65),"",PriceData!I65)</f>
        <v/>
      </c>
      <c r="J67" s="1" t="str">
        <f>IF(ISBLANK(PriceData!J65),"",PriceData!J65)</f>
        <v/>
      </c>
      <c r="K67" s="1" t="str">
        <f>IF(ISBLANK(PriceData!K65),"",PriceData!K65)</f>
        <v/>
      </c>
      <c r="L67" s="1" t="str">
        <f>IF(ISBLANK(PriceData!L65),"",PriceData!L65)</f>
        <v/>
      </c>
      <c r="M67" s="1" t="str">
        <f>IF(ISBLANK(PriceData!M65),"",PriceData!M65)</f>
        <v/>
      </c>
      <c r="N67" s="1" t="str">
        <f>IF(ISBLANK(PriceData!N65),"",PriceData!N65)</f>
        <v/>
      </c>
      <c r="O67" s="1" t="str">
        <f>IF(ISBLANK(PriceData!O65),"",PriceData!O65)</f>
        <v/>
      </c>
      <c r="P67" s="1" t="str">
        <f>IF(ISBLANK(PriceData!P65),"",PriceData!P65)</f>
        <v/>
      </c>
      <c r="Q67" s="1" t="str">
        <f>IF(ISBLANK(PriceData!Q65),"",PriceData!Q65)</f>
        <v/>
      </c>
      <c r="R67" s="1" t="str">
        <f>IF(ISBLANK(PriceData!R65),"",PriceData!R65)</f>
        <v/>
      </c>
      <c r="S67" s="1" t="str">
        <f>IF(ISBLANK(PriceData!S65),"",PriceData!S65)</f>
        <v/>
      </c>
      <c r="T67" s="1" t="str">
        <f>IF(ISBLANK(PriceData!T65),"",PriceData!T65)</f>
        <v/>
      </c>
      <c r="U67" s="1" t="str">
        <f>IF(ISBLANK(PriceData!U65),"",PriceData!U65)</f>
        <v/>
      </c>
      <c r="V67" s="1" t="str">
        <f>IF(ISBLANK(PriceData!V65),"",PriceData!V65)</f>
        <v/>
      </c>
      <c r="W67" s="1" t="str">
        <f>IF(ISBLANK(PriceData!W65),"",PriceData!W65)</f>
        <v/>
      </c>
      <c r="X67" s="1" t="str">
        <f>IF(ISBLANK(PriceData!X65),"",PriceData!X65)</f>
        <v/>
      </c>
      <c r="Y67" s="1" t="str">
        <f>IF(ISBLANK(PriceData!Y65),"",PriceData!Y65)</f>
        <v/>
      </c>
      <c r="Z67" s="1" t="str">
        <f>IF(ISBLANK(PriceData!Z65),"",PriceData!Z65)</f>
        <v/>
      </c>
      <c r="AA67" s="1" t="str">
        <f>IF(ISBLANK(PriceData!AA65),"",PriceData!AA65)</f>
        <v/>
      </c>
      <c r="AB67" s="1" t="str">
        <f>IF(ISBLANK(PriceData!AB65),"",PriceData!AB65)</f>
        <v/>
      </c>
      <c r="AC67" s="1" t="str">
        <f>IF(ISBLANK(PriceData!AC65),"",PriceData!AC65)</f>
        <v/>
      </c>
      <c r="AD67" s="1" t="str">
        <f>IF(ISBLANK(PriceData!AD65),"",PriceData!AD65)</f>
        <v/>
      </c>
      <c r="AE67" s="1" t="str">
        <f>IF(ISBLANK(PriceData!AE65),"",PriceData!AE65)</f>
        <v/>
      </c>
      <c r="AF67" s="1" t="str">
        <f>IF(ISBLANK(PriceData!AF65),"",PriceData!AF65)</f>
        <v/>
      </c>
      <c r="AG67" s="1" t="str">
        <f>IF(ISBLANK(PriceData!AG65),"",PriceData!AG65)</f>
        <v/>
      </c>
      <c r="AH67" s="1" t="str">
        <f>IF(ISBLANK(PriceData!AH65),"",PriceData!AH65)</f>
        <v/>
      </c>
      <c r="AI67" s="1" t="str">
        <f>IF(ISBLANK(PriceData!AI65),"",PriceData!AI65)</f>
        <v/>
      </c>
      <c r="AJ67" s="1" t="str">
        <f>IF(ISBLANK(PriceData!AJ65),"",PriceData!AJ65)</f>
        <v/>
      </c>
      <c r="AK67" s="1" t="str">
        <f>IF(ISBLANK(PriceData!AK65),"",PriceData!AK65)</f>
        <v/>
      </c>
      <c r="AL67" s="1" t="str">
        <f>IF(ISBLANK(PriceData!AL65),"",PriceData!AL65)</f>
        <v/>
      </c>
      <c r="AM67" s="1" t="str">
        <f>IF(ISBLANK(PriceData!AM65),"",PriceData!AM65)</f>
        <v/>
      </c>
      <c r="AN67" s="1" t="str">
        <f>IF(ISBLANK(PriceData!AN65),"",PriceData!AN65)</f>
        <v/>
      </c>
      <c r="AO67" s="1" t="str">
        <f>IF(ISBLANK(PriceData!AO65),"",PriceData!AO65)</f>
        <v/>
      </c>
      <c r="AP67" s="1" t="str">
        <f>IF(ISBLANK(PriceData!AP65),"",PriceData!AP65)</f>
        <v/>
      </c>
      <c r="AQ67" s="1" t="str">
        <f>IF(ISBLANK(PriceData!AQ65),"",PriceData!AQ65)</f>
        <v/>
      </c>
      <c r="AR67" s="1" t="str">
        <f>IF(ISBLANK(PriceData!AR65),"",PriceData!AR65)</f>
        <v/>
      </c>
      <c r="AS67" s="1" t="str">
        <f>IF(ISBLANK(PriceData!AS65),"",PriceData!AS65)</f>
        <v/>
      </c>
      <c r="AT67" s="1" t="str">
        <f>IF(ISBLANK(PriceData!AT65),"",PriceData!AT65)</f>
        <v/>
      </c>
      <c r="AU67" s="1" t="str">
        <f>IF(ISBLANK(PriceData!AU65),"",PriceData!AU65)</f>
        <v/>
      </c>
      <c r="AV67" s="1" t="str">
        <f>IF(ISBLANK(PriceData!AV65),"",PriceData!AV65)</f>
        <v/>
      </c>
      <c r="AW67" s="1" t="str">
        <f>IF(ISBLANK(PriceData!AW65),"",PriceData!AW65)</f>
        <v/>
      </c>
      <c r="AX67" s="1" t="str">
        <f>IF(ISBLANK(PriceData!AX65),"",PriceData!AX65)</f>
        <v/>
      </c>
      <c r="AY67" s="1" t="str">
        <f>IF(ISBLANK(PriceData!AY65),"",PriceData!AY65)</f>
        <v/>
      </c>
      <c r="AZ67" s="1" t="str">
        <f>IF(ISBLANK(PriceData!AZ65),"",PriceData!AZ65)</f>
        <v/>
      </c>
      <c r="BA67" s="1" t="str">
        <f>IF(ISBLANK(PriceData!BA65),"",PriceData!BA65)</f>
        <v/>
      </c>
      <c r="BB67" s="1" t="str">
        <f>IF(ISBLANK(PriceData!BB65),"",PriceData!BB65)</f>
        <v/>
      </c>
      <c r="BC67" s="1" t="str">
        <f>IF(ISBLANK(PriceData!BC65),"",PriceData!BC65)</f>
        <v/>
      </c>
      <c r="BD67" s="1" t="str">
        <f>IF(ISBLANK(PriceData!BD65),"",PriceData!BD65)</f>
        <v/>
      </c>
      <c r="BE67" s="1" t="str">
        <f>IF(ISBLANK(PriceData!BE65),"",PriceData!BE65)</f>
        <v/>
      </c>
      <c r="BF67" s="1" t="str">
        <f>IF(ISBLANK(PriceData!BF65),"",PriceData!BF65)</f>
        <v/>
      </c>
      <c r="BG67" s="1" t="str">
        <f>IF(ISBLANK(PriceData!BG65),"",PriceData!BG65)</f>
        <v/>
      </c>
      <c r="BH67" s="1" t="str">
        <f>IF(ISBLANK(PriceData!BH65),"",PriceData!BH65)</f>
        <v/>
      </c>
      <c r="BI67" s="1" t="str">
        <f>IF(ISBLANK(PriceData!BI65),"",PriceData!BI65)</f>
        <v/>
      </c>
      <c r="BJ67" s="1" t="str">
        <f>IF(ISBLANK(PriceData!BJ65),"",PriceData!BJ65)</f>
        <v/>
      </c>
      <c r="BK67" s="1" t="str">
        <f>IF(ISBLANK(PriceData!BK65),"",PriceData!BK65)</f>
        <v/>
      </c>
      <c r="BL67" s="1" t="str">
        <f>IF(ISBLANK(PriceData!BL65),"",PriceData!BL65)</f>
        <v/>
      </c>
      <c r="BM67" s="1" t="str">
        <f>IF(ISBLANK(PriceData!BM65),"",PriceData!BM65)</f>
        <v/>
      </c>
      <c r="BN67" s="1" t="str">
        <f>IF(ISBLANK(PriceData!BN65),"",PriceData!BN65)</f>
        <v/>
      </c>
      <c r="BO67" s="1" t="str">
        <f>IF(ISBLANK(PriceData!BO65),"",PriceData!BO65)</f>
        <v/>
      </c>
      <c r="BP67" s="1" t="str">
        <f>IF(ISBLANK(PriceData!BP65),"",PriceData!BP65)</f>
        <v/>
      </c>
      <c r="BQ67" s="1" t="str">
        <f>IF(ISBLANK(PriceData!BQ65),"",PriceData!BQ65)</f>
        <v/>
      </c>
      <c r="BR67" s="1" t="str">
        <f>IF(ISBLANK(PriceData!BR65),"",PriceData!BR65)</f>
        <v/>
      </c>
      <c r="BS67" s="1" t="str">
        <f>IF(ISBLANK(PriceData!BS65),"",PriceData!BS65)</f>
        <v/>
      </c>
      <c r="BT67" s="1" t="str">
        <f>IF(ISBLANK(PriceData!BT65),"",PriceData!BT65)</f>
        <v/>
      </c>
      <c r="BU67" s="1" t="str">
        <f>IF(ISBLANK(PriceData!BU65),"",PriceData!BU65)</f>
        <v/>
      </c>
      <c r="BV67" s="1" t="str">
        <f>IF(ISBLANK(PriceData!BV65),"",PriceData!BV65)</f>
        <v/>
      </c>
      <c r="BW67" s="1" t="str">
        <f>IF(ISBLANK(PriceData!BW65),"",PriceData!BW65)</f>
        <v/>
      </c>
      <c r="BX67" s="1" t="str">
        <f>IF(ISBLANK(PriceData!BX65),"",PriceData!BX65)</f>
        <v/>
      </c>
      <c r="BY67" s="1" t="str">
        <f>IF(ISBLANK(PriceData!BY65),"",PriceData!BY65)</f>
        <v/>
      </c>
      <c r="BZ67" s="1" t="str">
        <f>IF(ISBLANK(PriceData!BZ65),"",PriceData!BZ65)</f>
        <v/>
      </c>
      <c r="CA67" s="1" t="str">
        <f>IF(ISBLANK(PriceData!CA65),"",PriceData!CA65)</f>
        <v/>
      </c>
      <c r="CB67" s="1" t="str">
        <f>IF(ISBLANK(PriceData!CB65),"",PriceData!CB65)</f>
        <v/>
      </c>
      <c r="CC67" s="1" t="str">
        <f>IF(ISBLANK(PriceData!CC65),"",PriceData!CC65)</f>
        <v/>
      </c>
      <c r="CD67" s="1" t="str">
        <f>IF(ISBLANK(PriceData!CD65),"",PriceData!CD65)</f>
        <v/>
      </c>
      <c r="CE67" s="1" t="str">
        <f>IF(ISBLANK(PriceData!CE65),"",PriceData!CE65)</f>
        <v/>
      </c>
      <c r="CF67" s="1" t="str">
        <f>IF(ISBLANK(PriceData!CF65),"",PriceData!CF65)</f>
        <v/>
      </c>
      <c r="CG67" s="1" t="str">
        <f>IF(ISBLANK(PriceData!CG65),"",PriceData!CG65)</f>
        <v/>
      </c>
      <c r="CH67" s="1" t="str">
        <f>IF(ISBLANK(PriceData!CH65),"",PriceData!CH65)</f>
        <v/>
      </c>
      <c r="CI67" s="1" t="str">
        <f>IF(ISBLANK(PriceData!CI65),"",PriceData!CI65)</f>
        <v/>
      </c>
      <c r="CJ67" s="1" t="str">
        <f>IF(ISBLANK(PriceData!CJ65),"",PriceData!CJ65)</f>
        <v/>
      </c>
      <c r="CK67" s="1" t="str">
        <f>IF(ISBLANK(PriceData!CK65),"",PriceData!CK65)</f>
        <v/>
      </c>
      <c r="CL67" s="1" t="str">
        <f>IF(ISBLANK(PriceData!CL65),"",PriceData!CL65)</f>
        <v/>
      </c>
      <c r="CM67" s="1" t="str">
        <f>IF(ISBLANK(PriceData!CM65),"",PriceData!CM65)</f>
        <v/>
      </c>
      <c r="CN67" s="1" t="str">
        <f>IF(ISBLANK(PriceData!CN65),"",PriceData!CN65)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658"/>
  <sheetViews>
    <sheetView workbookViewId="0">
      <selection activeCell="D1" sqref="D1"/>
    </sheetView>
  </sheetViews>
  <sheetFormatPr defaultRowHeight="15" x14ac:dyDescent="0.25"/>
  <cols>
    <col min="1" max="1" width="17.140625" customWidth="1"/>
    <col min="3" max="3" width="19.28515625" customWidth="1"/>
    <col min="4" max="4" width="19.5703125" customWidth="1"/>
    <col min="5" max="5" width="20.140625" customWidth="1"/>
  </cols>
  <sheetData>
    <row r="1" spans="1:5" x14ac:dyDescent="0.25">
      <c r="B1" t="s">
        <v>49</v>
      </c>
      <c r="C1" t="s">
        <v>51</v>
      </c>
      <c r="D1" t="s">
        <v>60</v>
      </c>
      <c r="E1" t="s">
        <v>62</v>
      </c>
    </row>
    <row r="2" spans="1:5" x14ac:dyDescent="0.25">
      <c r="A2" t="s">
        <v>50</v>
      </c>
      <c r="D2">
        <v>3</v>
      </c>
    </row>
    <row r="3" spans="1:5" x14ac:dyDescent="0.25">
      <c r="A3" t="s">
        <v>61</v>
      </c>
      <c r="B3">
        <v>83</v>
      </c>
      <c r="D3">
        <v>72</v>
      </c>
    </row>
    <row r="4" spans="1:5" x14ac:dyDescent="0.25">
      <c r="A4" t="s">
        <v>63</v>
      </c>
    </row>
    <row r="5" spans="1:5" x14ac:dyDescent="0.25">
      <c r="A5" t="s">
        <v>64</v>
      </c>
      <c r="B5">
        <v>13</v>
      </c>
      <c r="C5">
        <v>50</v>
      </c>
      <c r="E5">
        <v>55</v>
      </c>
    </row>
    <row r="6" spans="1:5" x14ac:dyDescent="0.25">
      <c r="A6" t="s">
        <v>65</v>
      </c>
    </row>
    <row r="7" spans="1:5" x14ac:dyDescent="0.25">
      <c r="A7" t="s">
        <v>66</v>
      </c>
    </row>
    <row r="8" spans="1:5" x14ac:dyDescent="0.25">
      <c r="A8" t="s">
        <v>67</v>
      </c>
      <c r="B8">
        <v>3</v>
      </c>
      <c r="C8">
        <v>71</v>
      </c>
    </row>
    <row r="9" spans="1:5" x14ac:dyDescent="0.25">
      <c r="A9" t="s">
        <v>68</v>
      </c>
    </row>
    <row r="10" spans="1:5" x14ac:dyDescent="0.25">
      <c r="A10" t="s">
        <v>69</v>
      </c>
    </row>
    <row r="11" spans="1:5" x14ac:dyDescent="0.25">
      <c r="A11" t="s">
        <v>70</v>
      </c>
    </row>
    <row r="12" spans="1:5" x14ac:dyDescent="0.25">
      <c r="A12" t="s">
        <v>71</v>
      </c>
      <c r="B12">
        <v>31</v>
      </c>
    </row>
    <row r="13" spans="1:5" x14ac:dyDescent="0.25">
      <c r="A13" t="s">
        <v>72</v>
      </c>
    </row>
    <row r="14" spans="1:5" x14ac:dyDescent="0.25">
      <c r="A14" t="s">
        <v>73</v>
      </c>
    </row>
    <row r="15" spans="1:5" x14ac:dyDescent="0.25">
      <c r="A15" t="s">
        <v>74</v>
      </c>
    </row>
    <row r="16" spans="1:5" x14ac:dyDescent="0.25">
      <c r="A16" t="s">
        <v>75</v>
      </c>
    </row>
    <row r="17" spans="1:5" x14ac:dyDescent="0.25">
      <c r="A17" t="s">
        <v>76</v>
      </c>
    </row>
    <row r="18" spans="1:5" x14ac:dyDescent="0.25">
      <c r="A18" t="s">
        <v>77</v>
      </c>
    </row>
    <row r="19" spans="1:5" x14ac:dyDescent="0.25">
      <c r="A19" t="s">
        <v>78</v>
      </c>
    </row>
    <row r="20" spans="1:5" x14ac:dyDescent="0.25">
      <c r="A20" t="s">
        <v>79</v>
      </c>
    </row>
    <row r="21" spans="1:5" x14ac:dyDescent="0.25">
      <c r="A21" t="s">
        <v>80</v>
      </c>
    </row>
    <row r="22" spans="1:5" x14ac:dyDescent="0.25">
      <c r="A22" t="s">
        <v>81</v>
      </c>
    </row>
    <row r="23" spans="1:5" x14ac:dyDescent="0.25">
      <c r="A23" t="s">
        <v>82</v>
      </c>
      <c r="B23">
        <v>7</v>
      </c>
      <c r="E23">
        <v>79</v>
      </c>
    </row>
    <row r="24" spans="1:5" x14ac:dyDescent="0.25">
      <c r="A24" t="s">
        <v>83</v>
      </c>
    </row>
    <row r="25" spans="1:5" x14ac:dyDescent="0.25">
      <c r="A25" t="s">
        <v>84</v>
      </c>
    </row>
    <row r="26" spans="1:5" x14ac:dyDescent="0.25">
      <c r="A26" t="s">
        <v>85</v>
      </c>
    </row>
    <row r="27" spans="1:5" x14ac:dyDescent="0.25">
      <c r="A27" t="s">
        <v>86</v>
      </c>
    </row>
    <row r="28" spans="1:5" x14ac:dyDescent="0.25">
      <c r="A28" t="s">
        <v>87</v>
      </c>
    </row>
    <row r="29" spans="1:5" x14ac:dyDescent="0.25">
      <c r="A29" t="s">
        <v>88</v>
      </c>
    </row>
    <row r="30" spans="1:5" x14ac:dyDescent="0.25">
      <c r="A30" t="s">
        <v>89</v>
      </c>
      <c r="B30">
        <v>34</v>
      </c>
    </row>
    <row r="31" spans="1:5" x14ac:dyDescent="0.25">
      <c r="A31" t="s">
        <v>90</v>
      </c>
    </row>
    <row r="32" spans="1:5" x14ac:dyDescent="0.25">
      <c r="A32" t="s">
        <v>91</v>
      </c>
    </row>
    <row r="33" spans="1:6" x14ac:dyDescent="0.25">
      <c r="A33" t="s">
        <v>92</v>
      </c>
    </row>
    <row r="34" spans="1:6" x14ac:dyDescent="0.25">
      <c r="A34" t="s">
        <v>93</v>
      </c>
    </row>
    <row r="35" spans="1:6" x14ac:dyDescent="0.25">
      <c r="A35" t="s">
        <v>94</v>
      </c>
    </row>
    <row r="36" spans="1:6" x14ac:dyDescent="0.25">
      <c r="A36" t="s">
        <v>95</v>
      </c>
    </row>
    <row r="37" spans="1:6" x14ac:dyDescent="0.25">
      <c r="A37" t="s">
        <v>96</v>
      </c>
    </row>
    <row r="38" spans="1:6" x14ac:dyDescent="0.25">
      <c r="A38" t="s">
        <v>97</v>
      </c>
      <c r="F38">
        <v>15</v>
      </c>
    </row>
    <row r="39" spans="1:6" x14ac:dyDescent="0.25">
      <c r="A39" t="s">
        <v>98</v>
      </c>
    </row>
    <row r="40" spans="1:6" x14ac:dyDescent="0.25">
      <c r="A40" t="s">
        <v>99</v>
      </c>
    </row>
    <row r="41" spans="1:6" x14ac:dyDescent="0.25">
      <c r="A41" t="s">
        <v>100</v>
      </c>
    </row>
    <row r="42" spans="1:6" x14ac:dyDescent="0.25">
      <c r="A42" t="s">
        <v>101</v>
      </c>
    </row>
    <row r="43" spans="1:6" x14ac:dyDescent="0.25">
      <c r="A43" t="s">
        <v>102</v>
      </c>
    </row>
    <row r="44" spans="1:6" x14ac:dyDescent="0.25">
      <c r="A44" t="s">
        <v>103</v>
      </c>
    </row>
    <row r="45" spans="1:6" x14ac:dyDescent="0.25">
      <c r="A45" t="s">
        <v>104</v>
      </c>
    </row>
    <row r="46" spans="1:6" x14ac:dyDescent="0.25">
      <c r="A46" t="s">
        <v>105</v>
      </c>
    </row>
    <row r="47" spans="1:6" x14ac:dyDescent="0.25">
      <c r="A47" t="s">
        <v>106</v>
      </c>
      <c r="B47">
        <v>88</v>
      </c>
      <c r="C47">
        <v>22</v>
      </c>
    </row>
    <row r="48" spans="1:6" x14ac:dyDescent="0.25">
      <c r="A48" t="s">
        <v>107</v>
      </c>
    </row>
    <row r="49" spans="1:6" x14ac:dyDescent="0.25">
      <c r="A49" t="s">
        <v>108</v>
      </c>
    </row>
    <row r="50" spans="1:6" x14ac:dyDescent="0.25">
      <c r="A50" t="s">
        <v>109</v>
      </c>
    </row>
    <row r="51" spans="1:6" x14ac:dyDescent="0.25">
      <c r="A51" t="s">
        <v>110</v>
      </c>
    </row>
    <row r="52" spans="1:6" x14ac:dyDescent="0.25">
      <c r="A52" t="s">
        <v>111</v>
      </c>
    </row>
    <row r="53" spans="1:6" x14ac:dyDescent="0.25">
      <c r="A53" t="s">
        <v>112</v>
      </c>
    </row>
    <row r="54" spans="1:6" x14ac:dyDescent="0.25">
      <c r="A54" t="s">
        <v>113</v>
      </c>
    </row>
    <row r="55" spans="1:6" x14ac:dyDescent="0.25">
      <c r="A55" t="s">
        <v>114</v>
      </c>
    </row>
    <row r="56" spans="1:6" x14ac:dyDescent="0.25">
      <c r="A56" t="s">
        <v>115</v>
      </c>
    </row>
    <row r="57" spans="1:6" x14ac:dyDescent="0.25">
      <c r="A57" t="s">
        <v>116</v>
      </c>
      <c r="E57">
        <v>78</v>
      </c>
      <c r="F57">
        <v>96</v>
      </c>
    </row>
    <row r="58" spans="1:6" x14ac:dyDescent="0.25">
      <c r="A58" t="s">
        <v>117</v>
      </c>
    </row>
    <row r="59" spans="1:6" x14ac:dyDescent="0.25">
      <c r="A59" t="s">
        <v>118</v>
      </c>
    </row>
    <row r="60" spans="1:6" x14ac:dyDescent="0.25">
      <c r="A60" t="s">
        <v>119</v>
      </c>
    </row>
    <row r="61" spans="1:6" x14ac:dyDescent="0.25">
      <c r="A61" t="s">
        <v>120</v>
      </c>
    </row>
    <row r="62" spans="1:6" x14ac:dyDescent="0.25">
      <c r="A62" t="s">
        <v>121</v>
      </c>
    </row>
    <row r="63" spans="1:6" x14ac:dyDescent="0.25">
      <c r="A63" t="s">
        <v>122</v>
      </c>
    </row>
    <row r="64" spans="1:6" x14ac:dyDescent="0.25">
      <c r="A64" t="s">
        <v>123</v>
      </c>
    </row>
    <row r="65" spans="1:6" x14ac:dyDescent="0.25">
      <c r="A65" t="s">
        <v>124</v>
      </c>
    </row>
    <row r="66" spans="1:6" x14ac:dyDescent="0.25">
      <c r="A66" t="s">
        <v>125</v>
      </c>
    </row>
    <row r="67" spans="1:6" x14ac:dyDescent="0.25">
      <c r="A67" t="s">
        <v>126</v>
      </c>
    </row>
    <row r="68" spans="1:6" x14ac:dyDescent="0.25">
      <c r="A68" t="s">
        <v>127</v>
      </c>
    </row>
    <row r="69" spans="1:6" x14ac:dyDescent="0.25">
      <c r="A69" t="s">
        <v>128</v>
      </c>
    </row>
    <row r="70" spans="1:6" x14ac:dyDescent="0.25">
      <c r="A70" t="s">
        <v>129</v>
      </c>
    </row>
    <row r="71" spans="1:6" x14ac:dyDescent="0.25">
      <c r="A71" t="s">
        <v>130</v>
      </c>
    </row>
    <row r="72" spans="1:6" x14ac:dyDescent="0.25">
      <c r="A72" t="s">
        <v>131</v>
      </c>
    </row>
    <row r="73" spans="1:6" x14ac:dyDescent="0.25">
      <c r="A73" t="s">
        <v>132</v>
      </c>
    </row>
    <row r="74" spans="1:6" x14ac:dyDescent="0.25">
      <c r="A74" t="s">
        <v>133</v>
      </c>
    </row>
    <row r="75" spans="1:6" x14ac:dyDescent="0.25">
      <c r="A75" t="s">
        <v>134</v>
      </c>
    </row>
    <row r="76" spans="1:6" x14ac:dyDescent="0.25">
      <c r="A76" t="s">
        <v>135</v>
      </c>
    </row>
    <row r="77" spans="1:6" x14ac:dyDescent="0.25">
      <c r="A77" t="s">
        <v>136</v>
      </c>
    </row>
    <row r="78" spans="1:6" x14ac:dyDescent="0.25">
      <c r="A78" t="s">
        <v>137</v>
      </c>
    </row>
    <row r="79" spans="1:6" x14ac:dyDescent="0.25">
      <c r="A79" t="s">
        <v>138</v>
      </c>
    </row>
    <row r="80" spans="1:6" x14ac:dyDescent="0.25">
      <c r="A80" t="s">
        <v>139</v>
      </c>
      <c r="D80">
        <v>31</v>
      </c>
      <c r="E80">
        <v>55</v>
      </c>
      <c r="F80">
        <v>13</v>
      </c>
    </row>
    <row r="81" spans="1:5" x14ac:dyDescent="0.25">
      <c r="A81" t="s">
        <v>140</v>
      </c>
    </row>
    <row r="82" spans="1:5" x14ac:dyDescent="0.25">
      <c r="A82" t="s">
        <v>141</v>
      </c>
    </row>
    <row r="83" spans="1:5" x14ac:dyDescent="0.25">
      <c r="A83" t="s">
        <v>142</v>
      </c>
    </row>
    <row r="84" spans="1:5" x14ac:dyDescent="0.25">
      <c r="A84" t="s">
        <v>143</v>
      </c>
    </row>
    <row r="85" spans="1:5" x14ac:dyDescent="0.25">
      <c r="A85" t="s">
        <v>144</v>
      </c>
    </row>
    <row r="86" spans="1:5" x14ac:dyDescent="0.25">
      <c r="A86" t="s">
        <v>145</v>
      </c>
    </row>
    <row r="87" spans="1:5" x14ac:dyDescent="0.25">
      <c r="A87" t="s">
        <v>146</v>
      </c>
    </row>
    <row r="88" spans="1:5" x14ac:dyDescent="0.25">
      <c r="A88" t="s">
        <v>147</v>
      </c>
    </row>
    <row r="89" spans="1:5" x14ac:dyDescent="0.25">
      <c r="A89" t="s">
        <v>148</v>
      </c>
    </row>
    <row r="90" spans="1:5" x14ac:dyDescent="0.25">
      <c r="A90" t="s">
        <v>149</v>
      </c>
    </row>
    <row r="91" spans="1:5" x14ac:dyDescent="0.25">
      <c r="A91" t="s">
        <v>150</v>
      </c>
    </row>
    <row r="92" spans="1:5" x14ac:dyDescent="0.25">
      <c r="A92" t="s">
        <v>151</v>
      </c>
    </row>
    <row r="93" spans="1:5" x14ac:dyDescent="0.25">
      <c r="A93" t="s">
        <v>152</v>
      </c>
      <c r="B93">
        <v>7</v>
      </c>
      <c r="C93">
        <v>36</v>
      </c>
      <c r="D93">
        <v>33</v>
      </c>
      <c r="E93">
        <v>44</v>
      </c>
    </row>
    <row r="94" spans="1:5" x14ac:dyDescent="0.25">
      <c r="A94" t="s">
        <v>153</v>
      </c>
    </row>
    <row r="95" spans="1:5" x14ac:dyDescent="0.25">
      <c r="A95" t="s">
        <v>154</v>
      </c>
    </row>
    <row r="96" spans="1:5" x14ac:dyDescent="0.25">
      <c r="A96" t="s">
        <v>155</v>
      </c>
    </row>
    <row r="97" spans="1:2" x14ac:dyDescent="0.25">
      <c r="A97" t="s">
        <v>156</v>
      </c>
    </row>
    <row r="98" spans="1:2" x14ac:dyDescent="0.25">
      <c r="A98" t="s">
        <v>157</v>
      </c>
    </row>
    <row r="107" spans="1:2" x14ac:dyDescent="0.25">
      <c r="B107">
        <v>62</v>
      </c>
    </row>
    <row r="122" spans="5:6" x14ac:dyDescent="0.25">
      <c r="E122">
        <v>71</v>
      </c>
      <c r="F122">
        <v>46</v>
      </c>
    </row>
    <row r="138" spans="2:3" x14ac:dyDescent="0.25">
      <c r="B138">
        <v>35</v>
      </c>
      <c r="C138">
        <v>56</v>
      </c>
    </row>
    <row r="155" spans="4:4" x14ac:dyDescent="0.25">
      <c r="D155">
        <v>46</v>
      </c>
    </row>
    <row r="192" spans="2:3" x14ac:dyDescent="0.25">
      <c r="B192">
        <v>65</v>
      </c>
      <c r="C192">
        <v>50</v>
      </c>
    </row>
    <row r="212" spans="2:2" x14ac:dyDescent="0.25">
      <c r="B212">
        <v>82</v>
      </c>
    </row>
    <row r="233" spans="4:4" x14ac:dyDescent="0.25">
      <c r="D233">
        <v>93</v>
      </c>
    </row>
    <row r="255" spans="2:5" x14ac:dyDescent="0.25">
      <c r="B255">
        <v>92</v>
      </c>
      <c r="D255">
        <v>74</v>
      </c>
      <c r="E255">
        <v>78</v>
      </c>
    </row>
    <row r="278" spans="4:6" x14ac:dyDescent="0.25">
      <c r="D278">
        <v>59</v>
      </c>
      <c r="F278">
        <v>76</v>
      </c>
    </row>
    <row r="302" spans="4:6" x14ac:dyDescent="0.25">
      <c r="D302">
        <v>42</v>
      </c>
      <c r="E302">
        <v>83</v>
      </c>
      <c r="F302">
        <v>64</v>
      </c>
    </row>
    <row r="327" spans="6:6" x14ac:dyDescent="0.25">
      <c r="F327">
        <v>70</v>
      </c>
    </row>
    <row r="353" spans="2:5" x14ac:dyDescent="0.25">
      <c r="B353">
        <v>0</v>
      </c>
      <c r="D353">
        <v>48</v>
      </c>
      <c r="E353">
        <v>77</v>
      </c>
    </row>
    <row r="380" spans="4:5" x14ac:dyDescent="0.25">
      <c r="D380">
        <v>84</v>
      </c>
      <c r="E380">
        <v>2</v>
      </c>
    </row>
    <row r="408" spans="2:3" x14ac:dyDescent="0.25">
      <c r="B408">
        <v>15</v>
      </c>
      <c r="C408">
        <v>22</v>
      </c>
    </row>
    <row r="467" spans="2:5" x14ac:dyDescent="0.25">
      <c r="B467">
        <v>95</v>
      </c>
      <c r="E467">
        <v>26</v>
      </c>
    </row>
    <row r="498" spans="4:5" x14ac:dyDescent="0.25">
      <c r="D498">
        <v>55</v>
      </c>
      <c r="E498">
        <v>11</v>
      </c>
    </row>
    <row r="530" spans="4:4" x14ac:dyDescent="0.25">
      <c r="D530">
        <v>54</v>
      </c>
    </row>
    <row r="563" spans="2:3" x14ac:dyDescent="0.25">
      <c r="B563">
        <v>39</v>
      </c>
      <c r="C563">
        <v>92</v>
      </c>
    </row>
    <row r="597" spans="5:5" x14ac:dyDescent="0.25">
      <c r="E597">
        <v>23</v>
      </c>
    </row>
    <row r="632" spans="2:4" x14ac:dyDescent="0.25">
      <c r="B632">
        <v>44</v>
      </c>
      <c r="D632">
        <v>77</v>
      </c>
    </row>
    <row r="668" spans="5:5" x14ac:dyDescent="0.25">
      <c r="E668">
        <v>27</v>
      </c>
    </row>
    <row r="705" spans="5:6" x14ac:dyDescent="0.25">
      <c r="E705">
        <v>28</v>
      </c>
      <c r="F705">
        <v>79</v>
      </c>
    </row>
    <row r="743" spans="5:5" x14ac:dyDescent="0.25">
      <c r="E743">
        <v>58</v>
      </c>
    </row>
    <row r="782" spans="5:6" x14ac:dyDescent="0.25">
      <c r="E782">
        <v>29</v>
      </c>
      <c r="F782">
        <v>77</v>
      </c>
    </row>
    <row r="822" spans="2:4" x14ac:dyDescent="0.25">
      <c r="B822">
        <v>53</v>
      </c>
      <c r="D822">
        <v>78</v>
      </c>
    </row>
    <row r="863" spans="4:6" x14ac:dyDescent="0.25">
      <c r="D863">
        <v>1</v>
      </c>
      <c r="F863">
        <v>67</v>
      </c>
    </row>
    <row r="905" spans="2:4" x14ac:dyDescent="0.25">
      <c r="B905">
        <v>60</v>
      </c>
      <c r="C905">
        <v>47</v>
      </c>
      <c r="D905">
        <v>78</v>
      </c>
    </row>
    <row r="992" spans="6:6" x14ac:dyDescent="0.25">
      <c r="F992">
        <v>21</v>
      </c>
    </row>
    <row r="1037" spans="6:6" x14ac:dyDescent="0.25">
      <c r="F1037">
        <v>64</v>
      </c>
    </row>
    <row r="1083" spans="4:6" x14ac:dyDescent="0.25">
      <c r="D1083">
        <v>14</v>
      </c>
      <c r="F1083">
        <v>18</v>
      </c>
    </row>
    <row r="1130" spans="5:5" x14ac:dyDescent="0.25">
      <c r="E1130">
        <v>73</v>
      </c>
    </row>
    <row r="1178" spans="2:2" x14ac:dyDescent="0.25">
      <c r="B1178">
        <v>4</v>
      </c>
    </row>
    <row r="1227" spans="5:6" x14ac:dyDescent="0.25">
      <c r="E1227">
        <v>76</v>
      </c>
      <c r="F1227">
        <v>70</v>
      </c>
    </row>
    <row r="1277" spans="4:6" x14ac:dyDescent="0.25">
      <c r="D1277">
        <v>68</v>
      </c>
      <c r="E1277">
        <v>61</v>
      </c>
      <c r="F1277">
        <v>54</v>
      </c>
    </row>
    <row r="1380" spans="4:6" x14ac:dyDescent="0.25">
      <c r="D1380">
        <v>66</v>
      </c>
      <c r="F1380">
        <v>12</v>
      </c>
    </row>
    <row r="1433" spans="2:3" x14ac:dyDescent="0.25">
      <c r="B1433">
        <v>50</v>
      </c>
      <c r="C1433">
        <v>81</v>
      </c>
    </row>
    <row r="1487" spans="6:6" x14ac:dyDescent="0.25">
      <c r="F1487">
        <v>9</v>
      </c>
    </row>
    <row r="1542" spans="2:2" x14ac:dyDescent="0.25">
      <c r="B1542">
        <v>5</v>
      </c>
    </row>
    <row r="1598" spans="2:2" x14ac:dyDescent="0.25">
      <c r="B1598">
        <v>79</v>
      </c>
    </row>
    <row r="1655" spans="2:5" x14ac:dyDescent="0.25">
      <c r="B1655">
        <v>98</v>
      </c>
      <c r="C1655">
        <v>74</v>
      </c>
      <c r="D1655">
        <v>59</v>
      </c>
      <c r="E1655">
        <v>69</v>
      </c>
    </row>
    <row r="1713" spans="2:5" x14ac:dyDescent="0.25">
      <c r="B1713">
        <v>19</v>
      </c>
      <c r="E1713">
        <v>95</v>
      </c>
    </row>
    <row r="1772" spans="2:5" x14ac:dyDescent="0.25">
      <c r="B1772">
        <v>71</v>
      </c>
      <c r="E1772">
        <v>79</v>
      </c>
    </row>
    <row r="1893" spans="4:4" x14ac:dyDescent="0.25">
      <c r="D1893">
        <v>15</v>
      </c>
    </row>
    <row r="2018" spans="2:2" x14ac:dyDescent="0.25">
      <c r="B2018">
        <v>89</v>
      </c>
    </row>
    <row r="2147" spans="4:6" x14ac:dyDescent="0.25">
      <c r="D2147">
        <v>90</v>
      </c>
      <c r="F2147">
        <v>99</v>
      </c>
    </row>
    <row r="2213" spans="5:6" x14ac:dyDescent="0.25">
      <c r="E2213">
        <v>23</v>
      </c>
      <c r="F2213">
        <v>50</v>
      </c>
    </row>
    <row r="2280" spans="4:4" x14ac:dyDescent="0.25">
      <c r="D2280">
        <v>73</v>
      </c>
    </row>
    <row r="2348" spans="6:6" x14ac:dyDescent="0.25">
      <c r="F2348">
        <v>9</v>
      </c>
    </row>
    <row r="2417" spans="2:5" x14ac:dyDescent="0.25">
      <c r="B2417">
        <v>8</v>
      </c>
      <c r="C2417">
        <v>20</v>
      </c>
      <c r="E2417">
        <v>85</v>
      </c>
    </row>
    <row r="2703" spans="5:6" x14ac:dyDescent="0.25">
      <c r="E2703">
        <v>7</v>
      </c>
      <c r="F2703">
        <v>94</v>
      </c>
    </row>
    <row r="2852" spans="4:5" x14ac:dyDescent="0.25">
      <c r="D2852">
        <v>22</v>
      </c>
      <c r="E2852">
        <v>11</v>
      </c>
    </row>
    <row r="2928" spans="2:3" x14ac:dyDescent="0.25">
      <c r="B2928">
        <v>51</v>
      </c>
      <c r="C2928">
        <v>88</v>
      </c>
    </row>
    <row r="3005" spans="2:3" x14ac:dyDescent="0.25">
      <c r="B3005">
        <v>72</v>
      </c>
      <c r="C3005">
        <v>34</v>
      </c>
    </row>
    <row r="3083" spans="2:4" x14ac:dyDescent="0.25">
      <c r="B3083">
        <v>66</v>
      </c>
      <c r="C3083">
        <v>73</v>
      </c>
      <c r="D3083">
        <v>32</v>
      </c>
    </row>
    <row r="3162" spans="2:2" x14ac:dyDescent="0.25">
      <c r="B3162">
        <v>40</v>
      </c>
    </row>
    <row r="3323" spans="2:5" x14ac:dyDescent="0.25">
      <c r="B3323">
        <v>57</v>
      </c>
      <c r="D3323">
        <v>91</v>
      </c>
      <c r="E3323">
        <v>82</v>
      </c>
    </row>
    <row r="3405" spans="2:5" x14ac:dyDescent="0.25">
      <c r="B3405">
        <v>13</v>
      </c>
      <c r="C3405">
        <v>67</v>
      </c>
      <c r="E3405">
        <v>39</v>
      </c>
    </row>
    <row r="3488" spans="2:5" x14ac:dyDescent="0.25">
      <c r="B3488">
        <v>49</v>
      </c>
      <c r="E3488">
        <v>57</v>
      </c>
    </row>
    <row r="3572" spans="4:5" x14ac:dyDescent="0.25">
      <c r="D3572">
        <v>99</v>
      </c>
      <c r="E3572">
        <v>87</v>
      </c>
    </row>
    <row r="3743" spans="4:5" x14ac:dyDescent="0.25">
      <c r="D3743">
        <v>41</v>
      </c>
      <c r="E3743">
        <v>14</v>
      </c>
    </row>
    <row r="3830" spans="4:5" x14ac:dyDescent="0.25">
      <c r="D3830">
        <v>26</v>
      </c>
      <c r="E3830">
        <v>44</v>
      </c>
    </row>
    <row r="3918" spans="5:5" x14ac:dyDescent="0.25">
      <c r="E3918">
        <v>36</v>
      </c>
    </row>
    <row r="4097" spans="2:3" x14ac:dyDescent="0.25">
      <c r="B4097">
        <v>41</v>
      </c>
      <c r="C4097">
        <v>40</v>
      </c>
    </row>
    <row r="4188" spans="2:4" x14ac:dyDescent="0.25">
      <c r="B4188">
        <v>75</v>
      </c>
      <c r="D4188">
        <v>65</v>
      </c>
    </row>
    <row r="4280" spans="2:2" x14ac:dyDescent="0.25">
      <c r="B4280">
        <v>79</v>
      </c>
    </row>
    <row r="4467" spans="4:5" x14ac:dyDescent="0.25">
      <c r="D4467">
        <v>41</v>
      </c>
      <c r="E4467">
        <v>71</v>
      </c>
    </row>
    <row r="4562" spans="4:4" x14ac:dyDescent="0.25">
      <c r="D4562">
        <v>41</v>
      </c>
    </row>
    <row r="4658" spans="4:4" x14ac:dyDescent="0.25">
      <c r="D4658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A5" sqref="A5"/>
    </sheetView>
  </sheetViews>
  <sheetFormatPr defaultRowHeight="15" x14ac:dyDescent="0.25"/>
  <cols>
    <col min="1" max="1" width="18.28515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58</v>
      </c>
      <c r="I1" t="s">
        <v>59</v>
      </c>
    </row>
    <row r="2" spans="3:9" x14ac:dyDescent="0.25">
      <c r="C2" t="str">
        <f>PriceData!A2</f>
        <v>TEST_OANDA_EURUSD</v>
      </c>
      <c r="D2">
        <f>PriceData!D2</f>
        <v>1.2948500000000001</v>
      </c>
      <c r="F2">
        <f>F$1*D2</f>
        <v>2.978155E-4</v>
      </c>
      <c r="G2">
        <v>1E-4</v>
      </c>
      <c r="H2">
        <f>F2/G2</f>
        <v>2.9781549999999997</v>
      </c>
      <c r="I2">
        <f>ROUND(H2,0)</f>
        <v>3</v>
      </c>
    </row>
    <row r="3" spans="3:9" x14ac:dyDescent="0.25">
      <c r="C3" s="1" t="str">
        <f>PriceData!A3</f>
        <v>TEST_OANDA_EURGBP</v>
      </c>
      <c r="D3" s="1">
        <f>PriceData!D3</f>
        <v>0.79303000000000001</v>
      </c>
      <c r="F3" s="1">
        <f t="shared" ref="F3:F7" si="0">F$1*D3</f>
        <v>1.8239690000000002E-4</v>
      </c>
      <c r="G3">
        <v>1E-4</v>
      </c>
      <c r="H3" s="1">
        <f t="shared" ref="H3:H7" si="1">F3/G3</f>
        <v>1.8239690000000002</v>
      </c>
      <c r="I3" s="1">
        <f t="shared" ref="I3:I7" si="2">ROUND(H3,0)</f>
        <v>2</v>
      </c>
    </row>
    <row r="4" spans="3:9" x14ac:dyDescent="0.25">
      <c r="C4" s="1" t="str">
        <f>PriceData!A4</f>
        <v>TEST_OANDA_EURJPY</v>
      </c>
      <c r="D4" s="1">
        <f>PriceData!D4</f>
        <v>136.09100000000001</v>
      </c>
      <c r="F4" s="1">
        <f t="shared" si="0"/>
        <v>3.1300930000000005E-2</v>
      </c>
      <c r="G4">
        <v>0.01</v>
      </c>
      <c r="H4" s="1">
        <f t="shared" si="1"/>
        <v>3.1300930000000005</v>
      </c>
      <c r="I4" s="1">
        <f t="shared" si="2"/>
        <v>3</v>
      </c>
    </row>
    <row r="5" spans="3:9" x14ac:dyDescent="0.25">
      <c r="C5" s="1" t="str">
        <f>PriceData!A5</f>
        <v>TEST_OANDA_GBPUSD</v>
      </c>
      <c r="D5" s="1">
        <f>PriceData!D5</f>
        <v>1.63225</v>
      </c>
      <c r="F5" s="1">
        <f t="shared" si="0"/>
        <v>3.7541750000000002E-4</v>
      </c>
      <c r="G5">
        <v>1E-4</v>
      </c>
      <c r="H5" s="1">
        <f t="shared" si="1"/>
        <v>3.754175</v>
      </c>
      <c r="I5" s="1">
        <f t="shared" si="2"/>
        <v>4</v>
      </c>
    </row>
    <row r="6" spans="3:9" x14ac:dyDescent="0.25">
      <c r="C6" s="1" t="str">
        <f>PriceData!A6</f>
        <v>TEST_OANDA_GBPJPY</v>
      </c>
      <c r="D6" s="1">
        <f>PriceData!D6</f>
        <v>171.53700000000001</v>
      </c>
      <c r="F6" s="1">
        <f t="shared" si="0"/>
        <v>3.9453510000000004E-2</v>
      </c>
      <c r="G6">
        <v>0.01</v>
      </c>
      <c r="H6" s="1">
        <f t="shared" si="1"/>
        <v>3.9453510000000005</v>
      </c>
      <c r="I6" s="1">
        <f t="shared" si="2"/>
        <v>4</v>
      </c>
    </row>
    <row r="7" spans="3:9" x14ac:dyDescent="0.25">
      <c r="C7" s="1" t="str">
        <f>PriceData!A7</f>
        <v>TEST_OANDA_USDJPY</v>
      </c>
      <c r="D7" s="1">
        <f>PriceData!D7</f>
        <v>105.063</v>
      </c>
      <c r="F7" s="1">
        <f t="shared" si="0"/>
        <v>2.416449E-2</v>
      </c>
      <c r="G7">
        <v>0.01</v>
      </c>
      <c r="H7" s="1">
        <f t="shared" si="1"/>
        <v>2.4164490000000001</v>
      </c>
      <c r="I7" s="1">
        <f t="shared" si="2"/>
        <v>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PriceData</vt:lpstr>
      <vt:lpstr>orderbook</vt:lpstr>
      <vt:lpstr>MD_check</vt:lpstr>
      <vt:lpstr>Reports</vt:lpstr>
      <vt:lpstr>Positions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2014-09-06T13:09:12Z</dcterms:modified>
</cp:coreProperties>
</file>